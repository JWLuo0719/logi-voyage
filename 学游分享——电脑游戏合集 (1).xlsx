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filterPrivacy="1" defaultThemeVersion="164011"/>
  <bookViews>
    <workbookView activeTab="0"/>
  </bookViews>
  <sheets>
    <sheet name="数据表" sheetId="1" r:id="rId3"/>
  </sheets>
  <calcPr calcId="122211"/>
</workbook>
</file>

<file path=xl/sharedStrings.xml><?xml version="1.0" encoding="utf-8"?>
<sst xmlns="http://schemas.openxmlformats.org/spreadsheetml/2006/main" count="265" uniqueCount="265">
  <si>
    <t/>
  </si>
  <si>
    <t>夸克网盘链接</t>
  </si>
  <si>
    <t>百度网盘链接</t>
  </si>
  <si>
    <t>link3.cc/voyagekit</t>
  </si>
  <si>
    <t>温馨提示：建议在手机端转存网盘链接，文件不易丢失</t>
  </si>
  <si>
    <t>【许愿留言墙】：补链接或没有找到心仪的游戏等</t>
  </si>
  <si>
    <t>企鹅号：1061686860</t>
  </si>
  <si>
    <t>【手机端搜索游戏】点击工具栏中的查找替换</t>
  </si>
  <si>
    <t>【电脑端】键盘输入Ctrl+F搜索游戏名</t>
  </si>
  <si>
    <t>https://pan.quark.cn/s/08f1942d9a44</t>
  </si>
  <si>
    <t>https://pan.quark.cn/s/56273ad26d93</t>
  </si>
  <si>
    <t>https://pan.quark.cn/s/a5e64a851504</t>
  </si>
  <si>
    <t>鸣潮mod工具</t>
  </si>
  <si>
    <t>S 杀戮尖塔2 Slay the Spire 2 v0.98.1</t>
  </si>
  <si>
    <t>最近更新</t>
  </si>
  <si>
    <t>https://pan.quark.cn/s/d15cc8d4502f</t>
  </si>
  <si>
    <t>死亡搁浅2：冥滩之上</t>
  </si>
  <si>
    <t>忍者龙剑传4 v1.0.4.0 新增超忍双雄DLC 豪华中文版 打包修改器</t>
  </si>
  <si>
    <t>R 仁王3 v1.03数字豪华版 单机+联机 xg器+通关存档+VP9解码器[游戏弹报错必装]</t>
  </si>
  <si>
    <t>最新D加密游戏（可参考网上教程，破解有一定风险，游玩需谨慎）</t>
  </si>
  <si>
    <t>如无法运行大概率是硬件不兼容，游玩时可能需要关闭防火墙和杀毒软件</t>
  </si>
  <si>
    <t>红色沙漠</t>
  </si>
  <si>
    <t>怪物猎人物语3：命运双龙</t>
  </si>
  <si>
    <t>刺客信条：影Assassin’s Creed Shadows Build.21744524</t>
  </si>
  <si>
    <t>怪物猎人：荒野 Monster Hunter Wilds v1.041.02.00</t>
  </si>
  <si>
    <t>剑星 v1.4.1</t>
  </si>
  <si>
    <t>生化危机9：安H曲 Resident Evil Requiem Build.21960597</t>
  </si>
  <si>
    <t>无主之地4 Borderlands 4 v1.3.0</t>
  </si>
  <si>
    <t>真女神转生5 复仇 v1.0.3a xg器+单板补丁</t>
  </si>
  <si>
    <t>侏罗纪世界：J化3 Jurassic World Evolution 3 v1.2.5</t>
  </si>
  <si>
    <t>女神异闻录3 Build.19891636</t>
  </si>
  <si>
    <t>https://pan.quark.cn/s/28981b5f815c</t>
  </si>
  <si>
    <t>https://pan.quark.cn/s/8ffa9d0d3b0c</t>
  </si>
  <si>
    <t>https://pan.quark.cn/s/ee1b4e91016e</t>
  </si>
  <si>
    <t>https://pan.quark.cn/s/76f5ac553667</t>
  </si>
  <si>
    <t>https://pan.quark.cn/s/42dfe03fb8fa</t>
  </si>
  <si>
    <t>https://pan.quark.cn/s/fc02d61ce1b2</t>
  </si>
  <si>
    <t>https://pan.quark.cn/s/bc30020884d8</t>
  </si>
  <si>
    <t>https://pan.quark.cn/s/280b277d061a</t>
  </si>
  <si>
    <t>https://pan.quark.cn/s/d9cfbce5977d</t>
  </si>
  <si>
    <t>https://pan.quark.cn/s/7f176fd6a2a3</t>
  </si>
  <si>
    <t>https://pan.quark.cn/s/0cf421b880eb</t>
  </si>
  <si>
    <t>https://pan.quark.cn/s/b318ef201b42</t>
  </si>
  <si>
    <t>https://pan.quark.cn/s/f26d8ac58b74</t>
  </si>
  <si>
    <t>https://pan.quark.cn/s/d0984cc65aae</t>
  </si>
  <si>
    <t>https://pan.quark.cn/s/d547bb95c3d3</t>
  </si>
  <si>
    <t>https://pan.quark.cn/s/772ccd1ecdfd</t>
  </si>
  <si>
    <t>https://pan.quark.cn/s/0dad38adae11</t>
  </si>
  <si>
    <t>https://pan.quark.cn/s/63957be271c3</t>
  </si>
  <si>
    <t>https://pan.quark.cn/s/acc121edc8aa</t>
  </si>
  <si>
    <t>https://pan.quark.cn/s/7066c6d3db4d</t>
  </si>
  <si>
    <t>https://pan.quark.cn/s/aa939af66035</t>
  </si>
  <si>
    <t>https://pan.quark.cn/s/9a41e49796a5</t>
  </si>
  <si>
    <t>https://pan.quark.cn/s/0032dd61bd52</t>
  </si>
  <si>
    <t>https://pan.quark.cn/s/d8eab22ce336</t>
  </si>
  <si>
    <t>https://pan.quark.cn/s/b3dbd47c1017</t>
  </si>
  <si>
    <t>https://pan.quark.cn/s/9b6476fb6251</t>
  </si>
  <si>
    <t>https://pan.quark.cn/s/2f206a6419a8</t>
  </si>
  <si>
    <t>https://pan.quark.cn/s/c94d9d3308c0</t>
  </si>
  <si>
    <t>https://pan.quark.cn/s/f58d0936db52</t>
  </si>
  <si>
    <t>https://pan.quark.cn/s/22503d29b94c</t>
  </si>
  <si>
    <t>https://pan.quark.cn/s/d56065244d71</t>
  </si>
  <si>
    <t>https://pan.quark.cn/s/ef11c8536c7b</t>
  </si>
  <si>
    <t>https://pan.quark.cn/s/495888b2217c</t>
  </si>
  <si>
    <t>https://pan.quark.cn/s/9507c0b89238</t>
  </si>
  <si>
    <t>https://pan.quark.cn/s/05ceb692573b</t>
  </si>
  <si>
    <t>https://pan.quark.cn/s/8c706242a9aa</t>
  </si>
  <si>
    <t>https://pan.quark.cn/s/b209f57711a7</t>
  </si>
  <si>
    <t>https://pan.quark.cn/s/98f80a42e572</t>
  </si>
  <si>
    <t>https://pan.quark.cn/s/c8aa9092f4e4</t>
  </si>
  <si>
    <t>https://pan.quark.cn/s/b0086b60a86b</t>
  </si>
  <si>
    <t>https://pan.quark.cn/s/928562fdd51f</t>
  </si>
  <si>
    <t>https://pan.quark.cn/s/38aa57742c0e</t>
  </si>
  <si>
    <t>https://pan.quark.cn/s/c5c0c1413c97</t>
  </si>
  <si>
    <t>https://pan.quark.cn/s/1306c4342543</t>
  </si>
  <si>
    <t>https://pan.quark.cn/s/ad6c696d6977</t>
  </si>
  <si>
    <t>https://pan.quark.cn/s/9d815973a251</t>
  </si>
  <si>
    <t>https://pan.quark.cn/s/5a2f67fd379b</t>
  </si>
  <si>
    <t>https://pan.quark.cn/s/7400f3f6b3d0</t>
  </si>
  <si>
    <t>https://pan.quark.cn/s/0dd4dd09c2af</t>
  </si>
  <si>
    <t>https://pan.quark.cn/s/9ac226c72645</t>
  </si>
  <si>
    <t>https://pan.quark.cn/s/90d7d01fe250</t>
  </si>
  <si>
    <t>https://pan.quark.cn/s/f962ddbf3652</t>
  </si>
  <si>
    <t>https://pan.quark.cn/s/61ee422311b5</t>
  </si>
  <si>
    <t>https://pan.quark.cn/s/c714c465abac</t>
  </si>
  <si>
    <t>https://pan.quark.cn/s/672e46902488</t>
  </si>
  <si>
    <t>https://pan.quark.cn/s/a2d1d3528bde</t>
  </si>
  <si>
    <t>https://pan.quark.cn/s/7cc9ffe860a1</t>
  </si>
  <si>
    <t>https://pan.quark.cn/s/8feb7b06a17f</t>
  </si>
  <si>
    <t>https://pan.quark.cn/s/ab0c4ddee87e</t>
  </si>
  <si>
    <t>https://pan.quark.cn/s/37606f52ecd7</t>
  </si>
  <si>
    <t>https://pan.quark.cn/s/caea4d2d2fc6</t>
  </si>
  <si>
    <t>https://pan.quark.cn/s/4805a626f25d</t>
  </si>
  <si>
    <t>https://pan.quark.cn/s/cf4a556fb535</t>
  </si>
  <si>
    <t>https://pan.quark.cn/s/fdf0cd5cd039</t>
  </si>
  <si>
    <t>https://pan.quark.cn/s/546f1050cb00</t>
  </si>
  <si>
    <t>https://pan.quark.cn/s/d46def764118</t>
  </si>
  <si>
    <t>https://pan.quark.cn/s/c81fd66a8b9a</t>
  </si>
  <si>
    <t>https://pan.quark.cn/s/8f80857ef18f</t>
  </si>
  <si>
    <t>https://pan.quark.cn/s/ecdb61761f45</t>
  </si>
  <si>
    <t>https://pan.quark.cn/s/8a55ed712214</t>
  </si>
  <si>
    <t>https://pan.quark.cn/s/cda23783c350</t>
  </si>
  <si>
    <t>https://pan.quark.cn/s/e00f05a2eadd</t>
  </si>
  <si>
    <t>https://pan.quark.cn/s/6bbb6af68894</t>
  </si>
  <si>
    <t>https://pan.quark.cn/s/015594e6b613</t>
  </si>
  <si>
    <t>https://pan.quark.cn/s/4e9b3b260a3d</t>
  </si>
  <si>
    <t>https://pan.quark.cn/s/c9198f24faf2</t>
  </si>
  <si>
    <t>https://pan.quark.cn/s/ef47bb1e2368</t>
  </si>
  <si>
    <t>https://pan.quark.cn/s/108a0025a5ea</t>
  </si>
  <si>
    <t>https://pan.quark.cn/s/5544f98d2183</t>
  </si>
  <si>
    <t>https://pan.quark.cn/s/766a2b7646ef</t>
  </si>
  <si>
    <t>https://pan.quark.cn/s/bf9548bb1b84</t>
  </si>
  <si>
    <t>https://pan.quark.cn/s/4d0d6336646b</t>
  </si>
  <si>
    <t>https://pan.quark.cn/s/c33bd4de6100</t>
  </si>
  <si>
    <t>https://pan.quark.cn/s/b0fc1a1a6a25</t>
  </si>
  <si>
    <t>https://pan.quark.cn/s/a2afc0e4649b</t>
  </si>
  <si>
    <t>https://pan.quark.cn/s/639019f02e1e</t>
  </si>
  <si>
    <t>https://pan.quark.cn/s/1b58480aa8e1</t>
  </si>
  <si>
    <t>https://pan.quark.cn/s/3904d4454303</t>
  </si>
  <si>
    <t>https://pan.quark.cn/s/a75325f011e4</t>
  </si>
  <si>
    <t>https://pan.quark.cn/s/f7f86a9eb62a</t>
  </si>
  <si>
    <t>https://pan.quark.cn/s/c957d529d6c9</t>
  </si>
  <si>
    <t>https://pan.quark.cn/s/20d08da4cb3d</t>
  </si>
  <si>
    <t>https://pan.quark.cn/s/6285f1a51133</t>
  </si>
  <si>
    <t>https://pan.quark.cn/s/ee42db8fff10</t>
  </si>
  <si>
    <t>https://pan.quark.cn/s/208dce3f79a4</t>
  </si>
  <si>
    <t>https://pan.quark.cn/s/08ce210140af</t>
  </si>
  <si>
    <t>生化危机9：安H曲 Resident Evil Requiem Build.21960597(d加密版)</t>
  </si>
  <si>
    <t>https://pan.quark.cn/s/ff5862abc585</t>
  </si>
  <si>
    <t>剑星 v1.4.1（直装版）</t>
  </si>
  <si>
    <t>https://pan.quark.cn/s/529da1092440</t>
  </si>
  <si>
    <t>识质存在（直装版）</t>
  </si>
  <si>
    <t>https://pan.quark.cn/s/05d014d88c3e</t>
  </si>
  <si>
    <t>极限竞速：地平线6（更新）</t>
  </si>
  <si>
    <t>https://pan.quark.cn/s/20747243dadf</t>
  </si>
  <si>
    <t>深海迷航2 异星水域2</t>
  </si>
  <si>
    <t>剑星 v1.4.1（d加密版，已有直装版）</t>
  </si>
  <si>
    <r>
      <t>游戏名称</t>
    </r>
  </si>
  <si>
    <r>
      <t>附件</t>
    </r>
  </si>
  <si>
    <r>
      <t>学游分享——PC游戏合集，持续更新中~</t>
    </r>
  </si>
  <si>
    <r>
      <rPr>
        <b val="1"/>
        <color rgb="FF175CEB"/>
        <sz val="12"/>
        <u/>
      </rPr>
      <t xml:space="preserve"> 夸克网盘会员、1T空间白嫖攻略</t>
    </r>
  </si>
  <si>
    <r>
      <rPr>
        <color rgb="FF175CEB"/>
        <u/>
      </rPr>
      <t>https://www.kdocs.cn/l/ceWPigt0AW0W</t>
    </r>
  </si>
  <si>
    <r>
      <t>交流Q群</t>
    </r>
  </si>
  <si>
    <r>
      <t>视频分享过的游戏</t>
    </r>
  </si>
  <si>
    <r>
      <t>艾尔登法环 黑夜君临 v1.03.3新加DLC 见弃空洞者 豪华中文版 全DLC</t>
    </r>
  </si>
  <si>
    <r>
      <t>塞尔达传说 旷野之息 PC+手机</t>
    </r>
  </si>
  <si>
    <r>
      <t>博德之门3 v4.1.1.6072089 豪华中文版 全DLC+修改器+单独升级补丁</t>
    </r>
  </si>
  <si>
    <r>
      <rPr>
        <rFont val="微软雅黑"/>
        <b val="0"/>
        <i val="0"/>
        <strike val="0"/>
        <color rgb="FF175CEB"/>
        <sz val="11"/>
        <u/>
      </rPr>
      <t>https://pan.quark.cn/s/d6007aa29290</t>
    </r>
  </si>
  <si>
    <r>
      <rPr>
        <rFont val="微软雅黑"/>
        <b val="0"/>
        <i val="0"/>
        <strike val="0"/>
        <color rgb="FF175CEB"/>
        <sz val="11"/>
        <u/>
      </rPr>
      <t>https://pan.quark.cn/s/20ed2052c9eb</t>
    </r>
  </si>
  <si>
    <r>
      <rPr>
        <color rgb="FF175CEB"/>
        <u/>
      </rPr>
      <t>https://pan.baidu.com/s/1YO0hqIOANkXQXxhvssS83Q?pwd=hxsp</t>
    </r>
  </si>
  <si>
    <r>
      <rPr>
        <rFont val="-apple-system"/>
        <b val="0"/>
        <i val="0"/>
        <strike val="0"/>
        <sz val="9"/>
      </rPr>
      <t>生化危机9：安魂曲（直装版）</t>
    </r>
  </si>
  <si>
    <r>
      <rPr>
        <rFont val="微软雅黑"/>
        <b val="0"/>
        <i val="0"/>
        <strike val="0"/>
        <color rgb="FF175CEB"/>
        <sz val="11"/>
        <u/>
      </rPr>
      <t>https://pan.quark.cn/s/6d790923c7fe</t>
    </r>
  </si>
  <si>
    <r>
      <rPr>
        <rFont val="微软雅黑"/>
        <b val="0"/>
        <i val="0"/>
        <strike val="0"/>
        <color rgb="FF175CEB"/>
        <sz val="11"/>
        <u/>
      </rPr>
      <t>https://pan.quark.cn/s/20ed2052c9eb</t>
    </r>
  </si>
  <si>
    <r>
      <rPr>
        <rFont val="微软雅黑"/>
        <b val="0"/>
        <i val="0"/>
        <strike val="0"/>
        <color rgb="FF175CEB"/>
        <sz val="11"/>
        <u/>
      </rPr>
      <t>https://pan.quark.cn/s/e6f7c3b06336</t>
    </r>
  </si>
  <si>
    <r>
      <rPr>
        <rFont val="微软雅黑"/>
        <b val="0"/>
        <i val="0"/>
        <strike val="0"/>
        <color rgb="FF175CEB"/>
        <sz val="11"/>
        <u/>
      </rPr>
      <t>https://pan.quark.cn/s/ab6d299a2b5d</t>
    </r>
  </si>
  <si>
    <r>
      <rPr>
        <rFont val="微软雅黑"/>
        <b val="0"/>
        <i val="0"/>
        <strike val="0"/>
        <color rgb="FF175CEB"/>
        <sz val="11"/>
        <u/>
      </rPr>
      <t>https://pan.quark.cn/s/76c6f101b802</t>
    </r>
  </si>
  <si>
    <r>
      <rPr>
        <rFont val="微软雅黑"/>
        <b val="0"/>
        <i val="0"/>
        <strike val="0"/>
        <color rgb="FF175CEB"/>
        <sz val="11"/>
        <u/>
      </rPr>
      <t>https://pan.quark.cn/s/4a5665ba5028</t>
    </r>
  </si>
  <si>
    <r>
      <rPr>
        <rFont val="微软雅黑"/>
        <b val="0"/>
        <i val="0"/>
        <strike val="0"/>
        <color rgb="FF175CEB"/>
        <sz val="11"/>
        <u/>
      </rPr>
      <t>https://pan.quark.cn/s/cb6cac9bf912</t>
    </r>
  </si>
  <si>
    <r>
      <rPr>
        <rFont val="微软雅黑"/>
        <b val="0"/>
        <i val="0"/>
        <strike val="0"/>
        <color rgb="FF175CEB"/>
        <sz val="11"/>
        <u/>
      </rPr>
      <t>https://pan.quark.cn/s/157848719fe7</t>
    </r>
  </si>
  <si>
    <r>
      <rPr>
        <rFont val="微软雅黑"/>
        <b val="0"/>
        <i val="0"/>
        <strike val="0"/>
        <color rgb="FF175CEB"/>
        <sz val="11"/>
        <u/>
      </rPr>
      <t>https://pan.quark.cn/s/d344dc3b2fb9</t>
    </r>
  </si>
  <si>
    <r>
      <rPr>
        <rFont val="微软雅黑"/>
        <b val="0"/>
        <i val="0"/>
        <strike val="0"/>
        <color rgb="FF175CEB"/>
        <sz val="11"/>
        <u/>
      </rPr>
      <t>https://pan.quark.cn/s/620e332b5a76</t>
    </r>
  </si>
  <si>
    <r>
      <rPr>
        <rFont val="微软雅黑"/>
        <b val="0"/>
        <i val="0"/>
        <strike val="0"/>
        <color rgb="FF175CEB"/>
        <sz val="11"/>
        <u/>
      </rPr>
      <t>https://pan.quark.cn/s/f662e72a44b8</t>
    </r>
  </si>
  <si>
    <r>
      <rPr>
        <rFont val="微软雅黑"/>
        <b val="0"/>
        <i val="0"/>
        <strike val="0"/>
        <color rgb="FF175CEB"/>
        <sz val="11"/>
        <u/>
      </rPr>
      <t>https://pan.quark.cn/s/4fa6a95bed6c</t>
    </r>
  </si>
  <si>
    <r>
      <rPr>
        <rFont val="微软雅黑"/>
        <b val="0"/>
        <i val="0"/>
        <strike val="0"/>
        <color rgb="FF175CEB"/>
        <sz val="11"/>
        <u/>
      </rPr>
      <t>https://pan.quark.cn/s/c6f4e68ad8da</t>
    </r>
  </si>
  <si>
    <r>
      <rPr>
        <rFont val="微软雅黑"/>
        <b val="0"/>
        <i val="0"/>
        <strike val="0"/>
        <color rgb="FF175CEB"/>
        <sz val="11"/>
        <u/>
      </rPr>
      <t>https://pan.quark.cn/s/a93ef5ebaa2f</t>
    </r>
  </si>
  <si>
    <r>
      <t>游戏目录</t>
    </r>
  </si>
  <si>
    <r>
      <t>艾尔登法环 v1.16 含黄金树幽影DLC 打包修改器 解锁FPS帧率上限 豪华中文联机版</t>
    </r>
  </si>
  <si>
    <r>
      <t>艾诺提亚：失落之歌 v1.007 中文版</t>
    </r>
  </si>
  <si>
    <r>
      <t>暗喻幻想：ReFantazio v1.03 豪华中文版 全DLC 附带修改器</t>
    </r>
  </si>
  <si>
    <r>
      <t>崩溃大陆2 v1.0.9 （电脑PC+手机安卓）中文版 打包修改器</t>
    </r>
  </si>
  <si>
    <r>
      <t>超级马里奥：惊奇 [版本1.0.0]（电脑pc+手机安卓） 整合集成yuzu模拟器</t>
    </r>
  </si>
  <si>
    <r>
      <t>刺客信条：影 20项风灵月影修改器 附带CT表</t>
    </r>
  </si>
  <si>
    <r>
      <t>地平线：零之曙光 重制版 v1.5.89 中文版 打包修改器</t>
    </r>
  </si>
  <si>
    <r>
      <t>地平线：西之绝境 完整版 v1.5.80.0 豪华中文版 附单独升级补丁 打包修改器</t>
    </r>
  </si>
  <si>
    <r>
      <t>地平线3 终极版 全DLC</t>
    </r>
  </si>
  <si>
    <r>
      <t>地平线4 v1.447.567.0 终极版 全DLC 附联机补丁</t>
    </r>
  </si>
  <si>
    <r>
      <t>对马岛之魂：导演剪辑版 v1053.7 中文版 附单独升级补丁 修改器</t>
    </r>
  </si>
  <si>
    <r>
      <t>夺宝奇兵：古老之圈 豪华中文版 打包修改器 升级与修复补丁 v2025.2.26</t>
    </r>
  </si>
  <si>
    <r>
      <t>恶灵附身1 豪华中文版 附带修改器</t>
    </r>
  </si>
  <si>
    <r>
      <t>恶灵附身2 v1.05 豪华中文版 附带修改器</t>
    </r>
  </si>
  <si>
    <r>
      <t>方舟：生存飞升 v58.32 豪华中文版 全DLC</t>
    </r>
  </si>
  <si>
    <r>
      <t>方舟：生存进化 豪华中文版 附修改器</t>
    </r>
  </si>
  <si>
    <r>
      <t>怪物猎人荒野修改器</t>
    </r>
  </si>
  <si>
    <r>
      <t>光与影：33号远征队 v57661 重大更新 含dlss优化 新加终极武器包 豪华中文版 全DLC 附带修改器</t>
    </r>
  </si>
  <si>
    <r>
      <t>黑神话悟空像素版 含修改器mod版本 手机版与pc版</t>
    </r>
  </si>
  <si>
    <r>
      <t>黑神话悟空修改器</t>
    </r>
  </si>
  <si>
    <r>
      <t>幻兽帕鲁 v0.4.15.66880 中文联机版 打包修改器</t>
    </r>
  </si>
  <si>
    <r>
      <t>荒野大镖客2 v1436.28 终极中文版 附修改器+通关存档</t>
    </r>
  </si>
  <si>
    <r>
      <t>火焰纹章：风花雪月  [版本1.2.0]（电脑pc+手机安卓） 整合集成yuzu模拟器</t>
    </r>
  </si>
  <si>
    <r>
      <t>火焰纹章无双 [版本1.5.0]（电脑pc+手机安卓） 整合集成yuzu模拟器</t>
    </r>
  </si>
  <si>
    <r>
      <t>火焰纹章无双：风花雪月 [版本1.0.2]（电脑pc+手机安卓） 整合集成yuzu模拟器</t>
    </r>
  </si>
  <si>
    <r>
      <t>火焰纹章Engage [版本2.0.0]（电脑pc+手机安卓） 整合集成yuzu模拟器</t>
    </r>
  </si>
  <si>
    <r>
      <t>霍格沃茨之遗 v111.72.38 豪华中文版 全DLC+修改器+PS5独占内容 附带win11 24h2修复补丁</t>
    </r>
  </si>
  <si>
    <r>
      <t>极限竞速：地平线5 v1.681.440.0 豪华中文联机版 全DLC</t>
    </r>
  </si>
  <si>
    <r>
      <t>寂静岭2：重制版 v1.1.258.834 豪华中文版 全DLC 打包修改器+单独升级补丁</t>
    </r>
  </si>
  <si>
    <r>
      <t>看门狗2 v1.17 含修改器</t>
    </r>
  </si>
  <si>
    <r>
      <t>看门狗3：军团 v1.5.6 豪华中文版 全DLC+修改器+4K材质包</t>
    </r>
  </si>
  <si>
    <r>
      <t>蜡笔小新：煤炭镇的小白（PC+手机）电脑版+安卓</t>
    </r>
  </si>
  <si>
    <r>
      <t>蜡笔小新：我与博士的暑假 （PC+手机） 电脑版+安卓</t>
    </r>
  </si>
  <si>
    <r>
      <t>浪人崛起 豪华中文版 附修改器</t>
    </r>
  </si>
  <si>
    <r>
      <t>猎天使魔女 [版本1.1]（电脑pc+手机安卓） 整合集成yuzu模拟器</t>
    </r>
  </si>
  <si>
    <r>
      <t>猎天使魔女2 [版本1.2]（电脑pc+手机安卓） 整合集成yuzu模拟器</t>
    </r>
  </si>
  <si>
    <r>
      <t>猎天使魔女3 [版本1.1.0]（电脑pc+手机安卓） 整合集成yuzu模拟器</t>
    </r>
  </si>
  <si>
    <r>
      <t>猎天使魔女起源：瑟蕾莎与迷失的恶魔 [版本1.0.0]（电脑pc+手机安卓） 整合集成yuzu模拟器</t>
    </r>
  </si>
  <si>
    <r>
      <t>马里奥3D世界+狂怒世界 [版本1.1.0]（电脑pc+手机安卓） 整合集成yuzu模拟器</t>
    </r>
  </si>
  <si>
    <r>
      <t>马里奥奥德赛 [版本1.3.0]（电脑pc+手机安卓） 整合集成yuzu模拟器</t>
    </r>
  </si>
  <si>
    <r>
      <t>马里奥赛车8豪华版 [版本3.0.3]（电脑pc+手机安卓） 整合集成yuzu模拟器</t>
    </r>
  </si>
  <si>
    <r>
      <t>漫威蜘蛛侠2 v1.526.0.0 豪华中文版 全DLC 打包修改器 完美存档</t>
    </r>
  </si>
  <si>
    <r>
      <t>米塔 v0.93 中文版 手机+电脑双端</t>
    </r>
  </si>
  <si>
    <r>
      <t>匹诺曹的谎言 v1.10.0.0 豪华中文版 新增序曲DLC 全DLC 附修改器</t>
    </r>
  </si>
  <si>
    <r>
      <t>骑马与砍杀2：霸主 v1.2.12.54620 豪华中文版 全DLC 打包修改器</t>
    </r>
  </si>
  <si>
    <r>
      <t>仁王1 v1.24.8 打包修改器</t>
    </r>
  </si>
  <si>
    <r>
      <t>仁王2 打包修改器</t>
    </r>
  </si>
  <si>
    <r>
      <t>塞尔达传说：天空之剑 [v1.0.1] （电脑pc+手机安卓）整合集成yuzu模拟器</t>
    </r>
  </si>
  <si>
    <r>
      <t>塞尔达传说：王国之泪  [v1.2.0] （电脑pc+手机安卓）整合集成yuzu模拟器</t>
    </r>
  </si>
  <si>
    <r>
      <t>塞尔达传说：织梦岛 [v1.0.1] （电脑pc+手机安卓）整合集成yuzu模拟器</t>
    </r>
  </si>
  <si>
    <r>
      <t>赛博朋克2077 v2.31 终极中文版 全DLC 打包修改器+单独升级补丁+单独国语配音包</t>
    </r>
  </si>
  <si>
    <r>
      <t>沙威玛传奇最新版 电脑版+安卓+ios苹果 无广告无限金币版</t>
    </r>
  </si>
  <si>
    <r>
      <t>上古卷轴4：湮灭 重制版 v0.411.140.0 豪华中文版 全DLC 打包修改器</t>
    </r>
  </si>
  <si>
    <r>
      <t>上古卷轴5天际 周年纪念版 全DLC+修改器</t>
    </r>
  </si>
  <si>
    <r>
      <t>生化危机2重制版 v20230814 全DLC+打包修改器 豪华中文版</t>
    </r>
  </si>
  <si>
    <r>
      <t>生化危机3重制版 v20230427 全DLC+打包修改器 豪华中文版</t>
    </r>
  </si>
  <si>
    <r>
      <t>生化危机4重制版 预购奖励+修改器+win11 24h2闪退修复补丁 豪华中文版</t>
    </r>
  </si>
  <si>
    <r>
      <t>生化危机5 黄金版 v1.2.0 附带修改器</t>
    </r>
  </si>
  <si>
    <r>
      <t>生化危机6 v1.1.0 附带修改器</t>
    </r>
  </si>
  <si>
    <r>
      <t>生化危机7 黄金版 v20230508 全DLC+打包修改器</t>
    </r>
  </si>
  <si>
    <r>
      <t>生化危机8：村庄 v20230626 全DLC+打包修改器 豪华中文版</t>
    </r>
  </si>
  <si>
    <r>
      <t>使命召唤1-14原版 COD1-14 含修改器与完美存档</t>
    </r>
  </si>
  <si>
    <r>
      <t>使命召唤4：现代战争 重制版  附带修改器 COD4重制版</t>
    </r>
  </si>
  <si>
    <r>
      <t>使命召唤6：现代战争2 重制版 附带修改器 COD6重制版</t>
    </r>
  </si>
  <si>
    <r>
      <t>双影奇境 v2025.5.27 单机版+联机版 豪华中文版</t>
    </r>
  </si>
  <si>
    <r>
      <t>天国拯救2 v1.5.2 豪华中文版 新增教会之谜DLC 打包修改器</t>
    </r>
  </si>
  <si>
    <r>
      <t>卧龙：苍天陨落 v1.303 新增风起荆襄DLC 豪华中文版 全DLC 打包修改器+预购特典+季票+解锁60帧动画cg补丁</t>
    </r>
  </si>
  <si>
    <r>
      <t>巫师3：狂猎 v4.04 豪华中文版 全DLC 打包修改器</t>
    </r>
  </si>
  <si>
    <r>
      <t>武装原型：永恒（Broforce） v66638 豪华中文版 全DLC</t>
    </r>
  </si>
  <si>
    <r>
      <t>消逝的光芒1：十周年纪念版 v1.50.0 豪华中文版 全DLC 打包修改器</t>
    </r>
  </si>
  <si>
    <r>
      <t>消逝的光芒2 v1.21.3 豪华中文联机版 全DLC+修改器 新增危险物质DLC</t>
    </r>
  </si>
  <si>
    <r>
      <t>心灵杀手2 v1.2.8 豪华中文版 全DLC 附带修改器</t>
    </r>
  </si>
  <si>
    <r>
      <t>星之卡比：新星同盟 （电脑pc+手机安卓） 整合集成yuzu模拟器</t>
    </r>
  </si>
  <si>
    <r>
      <t>星之卡比探索发现（电脑pc+手机安卓） 整合集成yuzu模拟器</t>
    </r>
  </si>
  <si>
    <r>
      <t>星之卡比wii豪华版（电脑pc+手机安卓） 整合集成yuzu模拟器</t>
    </r>
  </si>
  <si>
    <r>
      <t>勇闯死人谷：暗黑之日 v0.4.11834 豪华中文版 打包修改器</t>
    </r>
  </si>
  <si>
    <r>
      <t>幽灵行者1 全DLC+修改器+解锁存档 v42507 豪华中文版</t>
    </r>
  </si>
  <si>
    <r>
      <t>幽灵行者2 v42294.589 豪华中文版 全DLC 打包修改器 新增周年包DLC</t>
    </r>
  </si>
  <si>
    <r>
      <t>战锤40K：审判官-殉道者 v2.9.4d 豪华中文版 全DLC</t>
    </r>
  </si>
  <si>
    <r>
      <t>战锤40K：星际战士2 v5.1.0.1 豪华中文版 打包修改器</t>
    </r>
  </si>
  <si>
    <r>
      <t>战锤40K：行商浪人 v1.3.2.13 豪华中文版 全DLC 打包修改器</t>
    </r>
  </si>
  <si>
    <r>
      <t>战锤40K：战争黎明3 v4.0.0.16278 豪华中文版</t>
    </r>
  </si>
  <si>
    <r>
      <t>战神4 v1.0.13 豪华中文版 打包修改器</t>
    </r>
  </si>
  <si>
    <r>
      <t>战神5：诸神黄昏 v1.9.3 豪华中文版 全DLC 20周年更新魔奎复苏 打包修改器 画质增强补丁 完美存档</t>
    </r>
  </si>
  <si>
    <r>
      <t>真三国无双：起源 v1.0.0.7豪华版 全DLC 打包修改器+修复存档＆手柄补丁</t>
    </r>
  </si>
  <si>
    <r>
      <t>正当防卫3 v1.05 豪华中文版 全DLC 附带修改器</t>
    </r>
  </si>
  <si>
    <r>
      <t>正当防卫4 v4110618 豪华中文版 全DLC 附带修改器</t>
    </r>
  </si>
  <si>
    <r>
      <t>植物大战僵尸融合版 pc电脑与手机版 含修改器+完美存档</t>
    </r>
  </si>
  <si>
    <r>
      <t>植物大战僵尸杂交版+重制版合集 pc电脑与手机版 PVZ杂交版合集</t>
    </r>
  </si>
  <si>
    <r>
      <t>只狼：影逝二度 v1.0.6 含解锁帧数补丁 打包修改器 存档</t>
    </r>
  </si>
  <si>
    <r>
      <t>最后的生还者：重制版 v1.1.5.0 豪华中文版 全DLC 附单独升级补丁 打包修改器</t>
    </r>
  </si>
  <si>
    <r>
      <t>最后生还者2：重制版 v1.5.10708 附修改器+画质增强补丁+声音修复补丁</t>
    </r>
  </si>
  <si>
    <r>
      <t>最终幻想16 v1.03 豪华中文版 全DLC 附带修改器</t>
    </r>
  </si>
  <si>
    <r>
      <t>最终幻想7：重生 v1.003 豪华中文版 全DLC 打包修改器</t>
    </r>
  </si>
  <si>
    <r>
      <t>最终幻想7：重制版 v1.005 中文版 附预购特典+修改器</t>
    </r>
  </si>
  <si>
    <r>
      <t>inZOI云族裔 v20250428.2678.W 中文版 附带修改器</t>
    </r>
  </si>
  <si>
    <r>
      <rPr>
        <color rgb="FF175CEB"/>
        <u/>
      </rPr>
      <t>https://pan.quark.cn/s/d15cc8d4502f</t>
    </r>
  </si>
  <si>
    <r>
      <rPr>
        <rFont val="-apple-system"/>
        <b val="0"/>
        <i val="0"/>
        <strike val="0"/>
        <sz val="9"/>
      </rPr>
      <t>生化危机9：安魂曲（直装版）</t>
    </r>
  </si>
  <si>
    <r>
      <rPr>
        <rFont val="微软雅黑"/>
        <b val="0"/>
        <i val="0"/>
        <strike val="0"/>
        <color rgb="FF175CEB"/>
        <sz val="11"/>
        <u/>
      </rPr>
      <t>https://pan.quark.cn/s/d15cc8d4502f</t>
    </r>
  </si>
</sst>
</file>

<file path=xl/styles.xml><?xml version="1.0" encoding="utf-8"?>
<styleSheet xmlns="http://schemas.openxmlformats.org/spreadsheetml/2006/main">
  <numFmts count="2">
    <numFmt numFmtId="300" formatCode="yyyy/MM/dd"/>
    <numFmt numFmtId="301" formatCode="General"/>
  </numFmts>
  <fonts count="15">
    <font>
      <name val="DengXian"/>
      <family val="2"/>
      <color theme="1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/>
      <sz val="10"/>
    </font>
    <font/>
    <font>
      <name val="DengXian"/>
      <family val="2"/>
      <color rgb="FF0000FF"/>
      <sz val="11"/>
      <u/>
    </font>
    <font>
      <name val="DengXian"/>
      <family val="2"/>
      <b val="1"/>
      <color rgb="FF0000FF"/>
      <sz val="12"/>
      <u/>
    </font>
    <font>
      <name val="DengXian"/>
    </font>
    <font>
      <name val="DengXian"/>
      <color theme="1"/>
      <sz val="14"/>
    </font>
    <font>
      <name val="DengXian"/>
      <color rgb="FF0000FF"/>
      <sz val="11"/>
      <u/>
    </font>
    <font>
      <color rgb="FF000000"/>
      <sz val="14"/>
    </font>
    <font>
      <name val="-apple-system"/>
      <color rgb="FF1E223B"/>
      <sz val="9"/>
    </font>
    <font>
      <name val="DengXian"/>
      <color theme="1"/>
      <sz val="11"/>
    </font>
    <font>
      <name val="宋体"/>
      <sz val="14"/>
    </font>
    <font>
      <name val="DengXian"/>
      <family val="2"/>
      <color theme="1"/>
      <sz val="11"/>
    </font>
  </fonts>
  <fills count="9">
    <fill>
      <patternFill patternType="none"/>
    </fill>
    <fill>
      <patternFill patternType="gray125"/>
    </fill>
    <fill>
      <patternFill patternType="solid">
        <bgColor rgb="FFF8B7DB"/>
      </patternFill>
    </fill>
    <fill>
      <patternFill patternType="solid">
        <bgColor rgb="FFFEE2F2"/>
      </patternFill>
    </fill>
    <fill>
      <patternFill patternType="solid">
        <bgColor rgb="FFE0E9FF"/>
      </patternFill>
    </fill>
    <fill>
      <patternFill patternType="solid">
        <fgColor rgb="FF00B0F0"/>
      </patternFill>
    </fill>
    <fill/>
    <fill>
      <patternFill patternType="solid">
        <fgColor rgb="FFC4D79B"/>
        <bgColor auto="1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</borders>
  <cellStyleXfs>
    <xf numFmtId="301" fontId="14" fillId="0" borderId="2" xfId="0"/>
  </cellStyleXfs>
  <cellXfs count="4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0" borderId="2" xfId="0" applyFont="1" applyAlignment="1">
      <alignment horizontal="left" vertical="center"/>
    </xf>
    <xf fontId="0" fillId="0" borderId="0" xfId="0">
      <alignment vertical="center"/>
    </xf>
    <xf numFmtId="301" fontId="14" fillId="0" borderId="2" xfId="0" applyAlignment="1">
      <alignment horizontal="left" vertical="center"/>
    </xf>
    <xf fontId="4" fillId="2" borderId="0" xfId="0"/>
    <xf numFmtId="301" fontId="5" fillId="0" borderId="2" xfId="0" applyFont="1" applyAlignment="1">
      <alignment horizontal="left" vertical="center"/>
    </xf>
    <xf numFmtId="300" fontId="0" fillId="0" borderId="0" xfId="0">
      <alignment horizontal="left" vertical="center"/>
    </xf>
    <xf fontId="0" fillId="0" borderId="0" xfId="0">
      <alignment horizontal="left" vertical="center"/>
    </xf>
    <xf fontId="4" fillId="3" borderId="0" xfId="0"/>
    <xf numFmtId="0" fontId="6" fillId="0" borderId="2" xfId="0" applyNumberFormat="1" applyFont="1" applyAlignment="1">
      <alignment horizontal="left" vertical="center"/>
    </xf>
    <xf numFmtId="300" fontId="14" fillId="0" borderId="2" xfId="0" applyNumberFormat="1" applyAlignment="1">
      <alignment horizontal="left" vertical="center"/>
    </xf>
    <xf numFmtId="0" fontId="7" fillId="0" borderId="2" xfId="0" applyNumberFormat="1" applyFont="1" applyAlignment="1">
      <alignment horizontal="left" vertical="center"/>
    </xf>
    <xf numFmtId="301" fontId="14" fillId="0" borderId="1" xfId="0" applyBorder="1" applyAlignment="1">
      <alignment horizontal="left" vertical="center"/>
    </xf>
    <xf fontId="4" fillId="4" borderId="0" xfId="0"/>
    <xf numFmtId="301" fontId="5" fillId="0" borderId="2" xfId="0" applyFont="1"/>
    <xf numFmtId="300" fontId="14" fillId="0" borderId="2" xfId="0" applyNumberFormat="1"/>
    <xf numFmtId="301" fontId="8" fillId="0" borderId="2" xfId="0" applyFont="1" applyAlignment="1">
      <alignment vertical="center"/>
    </xf>
    <xf numFmtId="301" fontId="5" fillId="0" borderId="2" xfId="0" applyFont="1" applyAlignment="1">
      <alignment vertical="center"/>
    </xf>
    <xf numFmtId="301" fontId="14" fillId="0" borderId="2" xfId="0" applyAlignment="1">
      <alignment vertical="center"/>
    </xf>
    <xf numFmtId="0" fontId="7" fillId="0" borderId="2" xfId="0" applyNumberFormat="1" applyFont="1" applyAlignment="1">
      <alignment vertical="center"/>
    </xf>
    <xf numFmtId="301" fontId="9" fillId="0" borderId="2" xfId="0" applyFont="1" applyAlignment="1">
      <alignment vertical="center"/>
    </xf>
    <xf fontId="0" fillId="0" borderId="0" xfId="0">
      <alignment vertical="center" wrapText="1"/>
    </xf>
    <xf numFmtId="301" fontId="9" fillId="0" borderId="2" xfId="0" applyFont="1"/>
    <xf numFmtId="300" fontId="0" fillId="0" borderId="0" xfId="0"/>
    <xf numFmtId="0" fontId="10" fillId="5" borderId="0" xfId="0">
      <alignment vertical="center"/>
    </xf>
    <xf numFmtId="0" fontId="14" fillId="0" borderId="2" xfId="0" applyNumberFormat="1" applyAlignment="1">
      <alignment horizontal="center" vertical="center" textRotation="0" wrapText="1" indent="0" justifyLastLine="0" shrinkToFit="0"/>
    </xf>
    <xf fontId="11" fillId="0" borderId="0" xfId="0"/>
    <xf numFmtId="0" fontId="14" fillId="0" borderId="2" xfId="0" applyNumberFormat="1" applyAlignment="1">
      <alignment horizontal="center" vertical="center" textRotation="0" wrapText="1" indent="0" justifyLastLine="0" shrinkToFit="0"/>
    </xf>
    <xf numFmtId="0" fontId="14" fillId="0" borderId="2" xfId="0" applyNumberFormat="1" applyAlignment="1">
      <alignment vertical="center"/>
    </xf>
    <xf numFmtId="0" fontId="9" fillId="0" borderId="2" xfId="0" applyNumberFormat="1" applyFont="1" applyAlignment="1">
      <alignment vertical="center" wrapText="1"/>
    </xf>
    <xf numFmtId="0" fontId="12" fillId="0" borderId="0" xfId="0">
      <alignment vertical="center"/>
    </xf>
    <xf numFmtId="0" fontId="12" fillId="6" borderId="0" xfId="0">
      <alignment vertical="center"/>
    </xf>
    <xf numFmtId="300" fontId="14" fillId="0" borderId="2" xfId="0" applyNumberFormat="1" applyAlignment="1">
      <alignment vertical="center"/>
    </xf>
    <xf numFmtId="301" fontId="9" fillId="0" borderId="2" xfId="0" applyFont="1" applyAlignment="1">
      <alignment vertical="center"/>
    </xf>
    <xf numFmtId="0" fontId="4" fillId="0" borderId="2" xfId="0" applyNumberFormat="1" applyFont="1" applyAlignment="1">
      <alignment horizontal="center" vertical="center" textRotation="0" wrapText="1" indent="0" justifyLastLine="0" shrinkToFit="0"/>
    </xf>
    <xf numFmtId="301" fontId="14" fillId="0" borderId="2" xfId="0" applyAlignment="1">
      <alignment horizontal="center" vertical="center" textRotation="0" wrapText="1" indent="0" justifyLastLine="0" shrinkToFit="0"/>
    </xf>
    <xf fontId="11" fillId="0" borderId="0" xfId="0"/>
    <xf fontId="13" fillId="7" borderId="0" xfId="0">
      <alignment horizontal="center" vertical="center" textRotation="0" wrapText="1" indent="0" justifyLastLine="0" shrinkToFit="0"/>
    </xf>
  </cellXfs>
  <cellStyles>
    <cellStyle name="Normal" xfId="0" builtinId="0" customBuiltin="1"/>
  </cellStyles>
  <dxfs count="3">
    <dxf>
      <fill>
        <patternFill patternType="solid">
          <bgColor rgb="FFF8B7DB"/>
        </patternFill>
      </fill>
    </dxf>
    <dxf>
      <fill>
        <patternFill patternType="solid">
          <bgColor rgb="FFFEE2F2"/>
        </patternFill>
      </fill>
    </dxf>
    <dxf>
      <fill>
        <patternFill patternType="solid">
          <bgColor rgb="FFE0E9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97" Type="http://schemas.openxmlformats.org/officeDocument/2006/relationships/hyperlink" Target="https://pan.quark.cn/s/c9198f24faf2" TargetMode="External"/><Relationship Id="rId96" Type="http://schemas.openxmlformats.org/officeDocument/2006/relationships/hyperlink" Target="https://pan.quark.cn/s/4e9b3b260a3d" TargetMode="External"/><Relationship Id="rId95" Type="http://schemas.openxmlformats.org/officeDocument/2006/relationships/hyperlink" Target="https://pan.quark.cn/s/015594e6b613" TargetMode="External"/><Relationship Id="rId93" Type="http://schemas.openxmlformats.org/officeDocument/2006/relationships/hyperlink" Target="https://pan.quark.cn/s/e00f05a2eadd" TargetMode="External"/><Relationship Id="rId9" Type="http://schemas.openxmlformats.org/officeDocument/2006/relationships/hyperlink" Target="https://pan.quark.cn/s/20ed2052c9eb" TargetMode="External"/><Relationship Id="rId89" Type="http://schemas.openxmlformats.org/officeDocument/2006/relationships/hyperlink" Target="https://pan.quark.cn/s/8f80857ef18f" TargetMode="External"/><Relationship Id="rId88" Type="http://schemas.openxmlformats.org/officeDocument/2006/relationships/hyperlink" Target="https://pan.quark.cn/s/c81fd66a8b9a" TargetMode="External"/><Relationship Id="rId87" Type="http://schemas.openxmlformats.org/officeDocument/2006/relationships/hyperlink" Target="https://pan.quark.cn/s/d46def764118" TargetMode="External"/><Relationship Id="rId86" Type="http://schemas.openxmlformats.org/officeDocument/2006/relationships/hyperlink" Target="https://pan.quark.cn/s/546f1050cb00" TargetMode="External"/><Relationship Id="rId84" Type="http://schemas.openxmlformats.org/officeDocument/2006/relationships/hyperlink" Target="https://pan.quark.cn/s/cf4a556fb535" TargetMode="External"/><Relationship Id="rId81" Type="http://schemas.openxmlformats.org/officeDocument/2006/relationships/hyperlink" Target="https://pan.quark.cn/s/37606f52ecd7" TargetMode="External"/><Relationship Id="rId80" Type="http://schemas.openxmlformats.org/officeDocument/2006/relationships/hyperlink" Target="https://pan.quark.cn/s/ab0c4ddee87e" TargetMode="External"/><Relationship Id="rId79" Type="http://schemas.openxmlformats.org/officeDocument/2006/relationships/hyperlink" Target="https://pan.quark.cn/s/8feb7b06a17f" TargetMode="External"/><Relationship Id="rId78" Type="http://schemas.openxmlformats.org/officeDocument/2006/relationships/hyperlink" Target="https://pan.quark.cn/s/7cc9ffe860a1" TargetMode="External"/><Relationship Id="rId77" Type="http://schemas.openxmlformats.org/officeDocument/2006/relationships/hyperlink" Target="https://pan.quark.cn/s/a2d1d3528bde" TargetMode="External"/><Relationship Id="rId76" Type="http://schemas.openxmlformats.org/officeDocument/2006/relationships/hyperlink" Target="https://pan.quark.cn/s/672e46902488" TargetMode="External"/><Relationship Id="rId75" Type="http://schemas.openxmlformats.org/officeDocument/2006/relationships/hyperlink" Target="https://pan.quark.cn/s/c714c465abac" TargetMode="External"/><Relationship Id="rId74" Type="http://schemas.openxmlformats.org/officeDocument/2006/relationships/hyperlink" Target="https://pan.quark.cn/s/61ee422311b5" TargetMode="External"/><Relationship Id="rId73" Type="http://schemas.openxmlformats.org/officeDocument/2006/relationships/hyperlink" Target="https://pan.quark.cn/s/f962ddbf3652" TargetMode="External"/><Relationship Id="rId71" Type="http://schemas.openxmlformats.org/officeDocument/2006/relationships/hyperlink" Target="https://pan.quark.cn/s/9ac226c72645" TargetMode="External"/><Relationship Id="rId7" Type="http://schemas.openxmlformats.org/officeDocument/2006/relationships/hyperlink" Target="https://pan.quark.cn/s/a5e64a851504" TargetMode="External"/><Relationship Id="rId67" Type="http://schemas.openxmlformats.org/officeDocument/2006/relationships/hyperlink" Target="https://pan.quark.cn/s/9d815973a251" TargetMode="External"/><Relationship Id="rId65" Type="http://schemas.openxmlformats.org/officeDocument/2006/relationships/hyperlink" Target="https://pan.quark.cn/s/1306c4342543" TargetMode="External"/><Relationship Id="rId64" Type="http://schemas.openxmlformats.org/officeDocument/2006/relationships/hyperlink" Target="https://pan.quark.cn/s/c5c0c1413c97" TargetMode="External"/><Relationship Id="rId24" Type="http://schemas.openxmlformats.org/officeDocument/2006/relationships/hyperlink" Target="https://pan.quark.cn/s/ee1b4e91016e" TargetMode="External"/><Relationship Id="rId30" Type="http://schemas.openxmlformats.org/officeDocument/2006/relationships/hyperlink" Target="https://pan.quark.cn/s/d9cfbce5977d" TargetMode="External"/><Relationship Id="rId17" Type="http://schemas.openxmlformats.org/officeDocument/2006/relationships/hyperlink" Target="https://pan.quark.cn/s/157848719fe7" TargetMode="External"/><Relationship Id="rId5" Type="http://schemas.openxmlformats.org/officeDocument/2006/relationships/hyperlink" Target="https://pan.quark.cn/s/08f1942d9a44" TargetMode="External"/><Relationship Id="rId15" Type="http://schemas.openxmlformats.org/officeDocument/2006/relationships/hyperlink" Target="https://pan.quark.cn/s/4a5665ba5028" TargetMode="External"/><Relationship Id="rId94" Type="http://schemas.openxmlformats.org/officeDocument/2006/relationships/hyperlink" Target="https://pan.quark.cn/s/6bbb6af68894" TargetMode="External"/><Relationship Id="rId16" Type="http://schemas.openxmlformats.org/officeDocument/2006/relationships/hyperlink" Target="https://pan.quark.cn/s/cb6cac9bf912" TargetMode="External"/><Relationship Id="rId70" Type="http://schemas.openxmlformats.org/officeDocument/2006/relationships/hyperlink" Target="https://pan.quark.cn/s/0dd4dd09c2af" TargetMode="External"/><Relationship Id="rId13" Type="http://schemas.openxmlformats.org/officeDocument/2006/relationships/hyperlink" Target="https://pan.quark.cn/s/ab6d299a2b5d" TargetMode="External"/><Relationship Id="rId34" Type="http://schemas.openxmlformats.org/officeDocument/2006/relationships/hyperlink" Target="https://pan.quark.cn/s/f26d8ac58b74" TargetMode="External"/><Relationship Id="rId41" Type="http://schemas.openxmlformats.org/officeDocument/2006/relationships/hyperlink" Target="https://pan.quark.cn/s/7066c6d3db4d" TargetMode="External"/><Relationship Id="rId21" Type="http://schemas.openxmlformats.org/officeDocument/2006/relationships/hyperlink" Target="https://pan.quark.cn/s/a93ef5ebaa2f" TargetMode="External"/><Relationship Id="rId54" Type="http://schemas.openxmlformats.org/officeDocument/2006/relationships/hyperlink" Target="https://pan.quark.cn/s/495888b2217c" TargetMode="External"/><Relationship Id="rId12" Type="http://schemas.openxmlformats.org/officeDocument/2006/relationships/hyperlink" Target="https://pan.quark.cn/s/e6f7c3b06336" TargetMode="External"/><Relationship Id="rId36" Type="http://schemas.openxmlformats.org/officeDocument/2006/relationships/hyperlink" Target="https://pan.quark.cn/s/d547bb95c3d3" TargetMode="External"/><Relationship Id="rId91" Type="http://schemas.openxmlformats.org/officeDocument/2006/relationships/hyperlink" Target="https://pan.quark.cn/s/8a55ed712214" TargetMode="External"/><Relationship Id="rId18" Type="http://schemas.openxmlformats.org/officeDocument/2006/relationships/hyperlink" Target="https://pan.quark.cn/s/f662e72a44b8" TargetMode="External"/><Relationship Id="rId108" Type="http://schemas.openxmlformats.org/officeDocument/2006/relationships/hyperlink" Target="https://pan.quark.cn/s/1b58480aa8e1" TargetMode="External"/><Relationship Id="rId37" Type="http://schemas.openxmlformats.org/officeDocument/2006/relationships/hyperlink" Target="https://pan.quark.cn/s/772ccd1ecdfd" TargetMode="External"/><Relationship Id="rId117" Type="http://schemas.openxmlformats.org/officeDocument/2006/relationships/hyperlink" Target="https://pan.quark.cn/s/08ce210140af" TargetMode="External"/><Relationship Id="rId22" Type="http://schemas.openxmlformats.org/officeDocument/2006/relationships/hyperlink" Target="https://pan.quark.cn/s/28981b5f815c" TargetMode="External"/><Relationship Id="rId116" Type="http://schemas.openxmlformats.org/officeDocument/2006/relationships/hyperlink" Target="https://pan.quark.cn/s/208dce3f79a4" TargetMode="External"/><Relationship Id="rId82" Type="http://schemas.openxmlformats.org/officeDocument/2006/relationships/hyperlink" Target="https://pan.quark.cn/s/caea4d2d2fc6" TargetMode="External"/><Relationship Id="rId66" Type="http://schemas.openxmlformats.org/officeDocument/2006/relationships/hyperlink" Target="https://pan.quark.cn/s/ad6c696d6977" TargetMode="External"/><Relationship Id="rId115" Type="http://schemas.openxmlformats.org/officeDocument/2006/relationships/hyperlink" Target="https://pan.quark.cn/s/ee42db8fff10" TargetMode="External"/><Relationship Id="rId114" Type="http://schemas.openxmlformats.org/officeDocument/2006/relationships/hyperlink" Target="https://pan.quark.cn/s/6285f1a51133" TargetMode="External"/><Relationship Id="rId23" Type="http://schemas.openxmlformats.org/officeDocument/2006/relationships/hyperlink" Target="https://pan.quark.cn/s/8ffa9d0d3b0c" TargetMode="External"/><Relationship Id="rId60" Type="http://schemas.openxmlformats.org/officeDocument/2006/relationships/hyperlink" Target="https://pan.quark.cn/s/c8aa9092f4e4" TargetMode="External"/><Relationship Id="rId113" Type="http://schemas.openxmlformats.org/officeDocument/2006/relationships/hyperlink" Target="https://pan.quark.cn/s/20d08da4cb3d" TargetMode="External"/><Relationship Id="rId112" Type="http://schemas.openxmlformats.org/officeDocument/2006/relationships/hyperlink" Target="https://pan.quark.cn/s/c957d529d6c9" TargetMode="External"/><Relationship Id="rId99" Type="http://schemas.openxmlformats.org/officeDocument/2006/relationships/hyperlink" Target="https://pan.quark.cn/s/108a0025a5ea" TargetMode="External"/><Relationship Id="rId101" Type="http://schemas.openxmlformats.org/officeDocument/2006/relationships/hyperlink" Target="https://pan.quark.cn/s/766a2b7646ef" TargetMode="External"/><Relationship Id="rId57" Type="http://schemas.openxmlformats.org/officeDocument/2006/relationships/hyperlink" Target="https://pan.quark.cn/s/8c706242a9aa" TargetMode="External"/><Relationship Id="rId90" Type="http://schemas.openxmlformats.org/officeDocument/2006/relationships/hyperlink" Target="https://pan.quark.cn/s/ecdb61761f45" TargetMode="External"/><Relationship Id="rId100" Type="http://schemas.openxmlformats.org/officeDocument/2006/relationships/hyperlink" Target="https://pan.quark.cn/s/5544f98d2183" TargetMode="External"/><Relationship Id="rId14" Type="http://schemas.openxmlformats.org/officeDocument/2006/relationships/hyperlink" Target="https://pan.quark.cn/s/76c6f101b802" TargetMode="External"/><Relationship Id="rId40" Type="http://schemas.openxmlformats.org/officeDocument/2006/relationships/hyperlink" Target="https://pan.quark.cn/s/acc121edc8aa" TargetMode="External"/><Relationship Id="rId50" Type="http://schemas.openxmlformats.org/officeDocument/2006/relationships/hyperlink" Target="https://pan.quark.cn/s/f58d0936db52" TargetMode="External"/><Relationship Id="rId55" Type="http://schemas.openxmlformats.org/officeDocument/2006/relationships/hyperlink" Target="https://pan.quark.cn/s/9507c0b89238" TargetMode="External"/><Relationship Id="rId85" Type="http://schemas.openxmlformats.org/officeDocument/2006/relationships/hyperlink" Target="https://pan.quark.cn/s/fdf0cd5cd039" TargetMode="External"/><Relationship Id="rId111" Type="http://schemas.openxmlformats.org/officeDocument/2006/relationships/hyperlink" Target="https://pan.quark.cn/s/f7f86a9eb62a" TargetMode="External"/><Relationship Id="rId47" Type="http://schemas.openxmlformats.org/officeDocument/2006/relationships/hyperlink" Target="https://pan.quark.cn/s/9b6476fb6251" TargetMode="External"/><Relationship Id="rId19" Type="http://schemas.openxmlformats.org/officeDocument/2006/relationships/hyperlink" Target="https://pan.quark.cn/s/4fa6a95bed6c" TargetMode="External"/><Relationship Id="rId8" Type="http://schemas.openxmlformats.org/officeDocument/2006/relationships/hyperlink" Target="https://pan.quark.cn/s/d6007aa29290" TargetMode="External"/><Relationship Id="rId0" Type="http://schemas.openxmlformats.org/officeDocument/2006/relationships/hyperlink" Target="http://link3.cc/voyagekit" TargetMode="External"/><Relationship Id="rId2" Type="http://schemas.openxmlformats.org/officeDocument/2006/relationships/hyperlink" Target="https://www.kdocs.cn/l/ceWPigt0AW0W" TargetMode="External"/><Relationship Id="rId106" Type="http://schemas.openxmlformats.org/officeDocument/2006/relationships/hyperlink" Target="https://pan.quark.cn/s/a2afc0e4649b" TargetMode="External"/><Relationship Id="rId26" Type="http://schemas.openxmlformats.org/officeDocument/2006/relationships/hyperlink" Target="https://pan.quark.cn/s/42dfe03fb8fa" TargetMode="External"/><Relationship Id="rId110" Type="http://schemas.openxmlformats.org/officeDocument/2006/relationships/hyperlink" Target="https://pan.quark.cn/s/a75325f011e4" TargetMode="External"/><Relationship Id="rId1" Type="http://schemas.openxmlformats.org/officeDocument/2006/relationships/hyperlink" Target="https://www.kdocs.cn/l/caKJAZ5cBIeq" TargetMode="External"/><Relationship Id="rId83" Type="http://schemas.openxmlformats.org/officeDocument/2006/relationships/hyperlink" Target="https://pan.quark.cn/s/4805a626f25d" TargetMode="External"/><Relationship Id="rId107" Type="http://schemas.openxmlformats.org/officeDocument/2006/relationships/hyperlink" Target="https://pan.quark.cn/s/639019f02e1e" TargetMode="External"/><Relationship Id="rId53" Type="http://schemas.openxmlformats.org/officeDocument/2006/relationships/hyperlink" Target="https://pan.quark.cn/s/ef11c8536c7b" TargetMode="External"/><Relationship Id="rId72" Type="http://schemas.openxmlformats.org/officeDocument/2006/relationships/hyperlink" Target="https://pan.quark.cn/s/90d7d01fe250" TargetMode="External"/><Relationship Id="rId102" Type="http://schemas.openxmlformats.org/officeDocument/2006/relationships/hyperlink" Target="https://pan.quark.cn/s/bf9548bb1b84" TargetMode="External"/><Relationship Id="rId63" Type="http://schemas.openxmlformats.org/officeDocument/2006/relationships/hyperlink" Target="https://pan.quark.cn/s/38aa57742c0e" TargetMode="External"/><Relationship Id="rId11" Type="http://schemas.openxmlformats.org/officeDocument/2006/relationships/hyperlink" Target="https://pan.quark.cn/s/6d790923c7fe" TargetMode="External"/><Relationship Id="rId33" Type="http://schemas.openxmlformats.org/officeDocument/2006/relationships/hyperlink" Target="https://pan.quark.cn/s/b318ef201b42" TargetMode="External"/><Relationship Id="rId25" Type="http://schemas.openxmlformats.org/officeDocument/2006/relationships/hyperlink" Target="https://pan.quark.cn/s/76f5ac553667" TargetMode="External"/><Relationship Id="rId38" Type="http://schemas.openxmlformats.org/officeDocument/2006/relationships/hyperlink" Target="https://pan.quark.cn/s/0dad38adae11" TargetMode="External"/><Relationship Id="rId42" Type="http://schemas.openxmlformats.org/officeDocument/2006/relationships/hyperlink" Target="https://pan.quark.cn/s/aa939af66035" TargetMode="External"/><Relationship Id="rId28" Type="http://schemas.openxmlformats.org/officeDocument/2006/relationships/hyperlink" Target="https://pan.quark.cn/s/bc30020884d8" TargetMode="External"/><Relationship Id="rId68" Type="http://schemas.openxmlformats.org/officeDocument/2006/relationships/hyperlink" Target="https://pan.quark.cn/s/5a2f67fd379b" TargetMode="External"/><Relationship Id="rId29" Type="http://schemas.openxmlformats.org/officeDocument/2006/relationships/hyperlink" Target="https://pan.quark.cn/s/280b277d061a" TargetMode="External"/><Relationship Id="rId59" Type="http://schemas.openxmlformats.org/officeDocument/2006/relationships/hyperlink" Target="https://pan.quark.cn/s/98f80a42e572" TargetMode="External"/><Relationship Id="rId69" Type="http://schemas.openxmlformats.org/officeDocument/2006/relationships/hyperlink" Target="https://pan.quark.cn/s/7400f3f6b3d0" TargetMode="External"/><Relationship Id="rId3" Type="http://schemas.openxmlformats.org/officeDocument/2006/relationships/hyperlink" Target="https://qm.qq.com/q/SGUEkSpeca" TargetMode="External"/><Relationship Id="rId46" Type="http://schemas.openxmlformats.org/officeDocument/2006/relationships/hyperlink" Target="https://pan.quark.cn/s/b3dbd47c1017" TargetMode="External"/><Relationship Id="rId109" Type="http://schemas.openxmlformats.org/officeDocument/2006/relationships/hyperlink" Target="https://pan.quark.cn/s/3904d4454303" TargetMode="External"/><Relationship Id="rId31" Type="http://schemas.openxmlformats.org/officeDocument/2006/relationships/hyperlink" Target="https://pan.quark.cn/s/7f176fd6a2a3" TargetMode="External"/><Relationship Id="rId32" Type="http://schemas.openxmlformats.org/officeDocument/2006/relationships/hyperlink" Target="https://pan.quark.cn/s/0cf421b880eb" TargetMode="External"/><Relationship Id="rId103" Type="http://schemas.openxmlformats.org/officeDocument/2006/relationships/hyperlink" Target="https://pan.quark.cn/s/4d0d6336646b" TargetMode="External"/><Relationship Id="rId44" Type="http://schemas.openxmlformats.org/officeDocument/2006/relationships/hyperlink" Target="https://pan.quark.cn/s/0032dd61bd52" TargetMode="External"/><Relationship Id="rId104" Type="http://schemas.openxmlformats.org/officeDocument/2006/relationships/hyperlink" Target="https://pan.quark.cn/s/c33bd4de6100" TargetMode="External"/><Relationship Id="rId35" Type="http://schemas.openxmlformats.org/officeDocument/2006/relationships/hyperlink" Target="https://pan.quark.cn/s/d0984cc65aae" TargetMode="External"/><Relationship Id="rId98" Type="http://schemas.openxmlformats.org/officeDocument/2006/relationships/hyperlink" Target="https://pan.quark.cn/s/ef47bb1e2368" TargetMode="External"/><Relationship Id="rId105" Type="http://schemas.openxmlformats.org/officeDocument/2006/relationships/hyperlink" Target="https://pan.quark.cn/s/b0fc1a1a6a25" TargetMode="External"/><Relationship Id="rId39" Type="http://schemas.openxmlformats.org/officeDocument/2006/relationships/hyperlink" Target="https://pan.quark.cn/s/63957be271c3" TargetMode="External"/><Relationship Id="rId4" Type="http://schemas.openxmlformats.org/officeDocument/2006/relationships/hyperlink" Target="https://pan.quark.cn/s/d15cc8d4502f" TargetMode="External"/><Relationship Id="rId43" Type="http://schemas.openxmlformats.org/officeDocument/2006/relationships/hyperlink" Target="https://pan.quark.cn/s/9a41e49796a5" TargetMode="External"/><Relationship Id="rId62" Type="http://schemas.openxmlformats.org/officeDocument/2006/relationships/hyperlink" Target="https://pan.quark.cn/s/928562fdd51f" TargetMode="External"/><Relationship Id="rId27" Type="http://schemas.openxmlformats.org/officeDocument/2006/relationships/hyperlink" Target="https://pan.quark.cn/s/fc02d61ce1b2" TargetMode="External"/><Relationship Id="rId45" Type="http://schemas.openxmlformats.org/officeDocument/2006/relationships/hyperlink" Target="https://pan.quark.cn/s/d8eab22ce336" TargetMode="External"/><Relationship Id="rId48" Type="http://schemas.openxmlformats.org/officeDocument/2006/relationships/hyperlink" Target="https://pan.quark.cn/s/2f206a6419a8" TargetMode="External"/><Relationship Id="rId49" Type="http://schemas.openxmlformats.org/officeDocument/2006/relationships/hyperlink" Target="https://pan.quark.cn/s/c94d9d3308c0" TargetMode="External"/><Relationship Id="rId92" Type="http://schemas.openxmlformats.org/officeDocument/2006/relationships/hyperlink" Target="https://pan.quark.cn/s/cda23783c350" TargetMode="External"/><Relationship Id="rId51" Type="http://schemas.openxmlformats.org/officeDocument/2006/relationships/hyperlink" Target="https://pan.quark.cn/s/22503d29b94c" TargetMode="External"/><Relationship Id="rId20" Type="http://schemas.openxmlformats.org/officeDocument/2006/relationships/hyperlink" Target="https://pan.quark.cn/s/c6f4e68ad8da" TargetMode="External"/><Relationship Id="rId52" Type="http://schemas.openxmlformats.org/officeDocument/2006/relationships/hyperlink" Target="https://pan.quark.cn/s/d56065244d71" TargetMode="External"/><Relationship Id="rId56" Type="http://schemas.openxmlformats.org/officeDocument/2006/relationships/hyperlink" Target="https://pan.quark.cn/s/05ceb692573b" TargetMode="External"/><Relationship Id="rId10" Type="http://schemas.openxmlformats.org/officeDocument/2006/relationships/hyperlink" Target="https://pan.baidu.com/s/1YO0hqIOANkXQXxhvssS83Q?pwd=hxsp" TargetMode="External"/><Relationship Id="rId58" Type="http://schemas.openxmlformats.org/officeDocument/2006/relationships/hyperlink" Target="https://pan.quark.cn/s/b209f57711a7" TargetMode="External"/><Relationship Id="rId6" Type="http://schemas.openxmlformats.org/officeDocument/2006/relationships/hyperlink" Target="https://pan.quark.cn/s/56273ad26d93" TargetMode="External"/><Relationship Id="rId61" Type="http://schemas.openxmlformats.org/officeDocument/2006/relationships/hyperlink" Target="https://pan.quark.cn/s/b0086b60a86b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D135"/>
  <sheetViews>
    <sheetView showGridLines="1" workbookViewId="0"/>
  </sheetViews>
  <cols>
    <col min="1" max="1" width="44.1523" customWidth="1"/>
    <col min="2" max="2" width="39" customWidth="1"/>
    <col min="3" max="3" width="37.7695" customWidth="1"/>
    <col min="4" max="4" width="19" customWidth="1"/>
  </cols>
  <sheetData>
    <row r="1" spans="1:4" ht="22.5" customHeight="1">
      <c r="A1" s="4" t="s">
        <v>137</v>
      </c>
      <c r="B1" s="5" t="s">
        <v>1</v>
      </c>
      <c r="C1" s="5" t="s">
        <v>2</v>
      </c>
      <c r="D1" s="4" t="s">
        <v>138</v>
      </c>
    </row>
    <row r="2" spans="1:4" ht="38.25" customHeight="1">
      <c r="A2" s="6" t="s">
        <v>139</v>
      </c>
      <c r="B2" s="8" t="s">
        <f>=HYPERLINK("http://link3.cc/voyagekit","link3.cc/voyagekit")</f>
        <v>3</v>
      </c>
      <c r="C2" s="9" t="s"/>
      <c r="D2" s="10" t="s"/>
    </row>
    <row r="3" spans="1:4" ht="38.25" customHeight="1">
      <c r="A3" s="6" t="s">
        <v>4</v>
      </c>
      <c r="B3" s="12" t="s">
        <v>140</v>
      </c>
      <c r="C3" s="13" t="s"/>
      <c r="D3" s="10" t="s"/>
    </row>
    <row r="4" spans="1:4" ht="38.25" customHeight="1">
      <c r="A4" s="14" t="s">
        <v>5</v>
      </c>
      <c r="B4" s="8" t="s">
        <v>141</v>
      </c>
      <c r="C4" s="13" t="s"/>
      <c r="D4" s="10" t="s"/>
    </row>
    <row r="5" spans="1:4" ht="38.25" customHeight="1">
      <c r="A5" s="6" t="s">
        <v>142</v>
      </c>
      <c r="B5" s="8" t="s">
        <f>=HYPERLINK("https://qm.qq.com/q/SGUEkSpeca","企鹅号：1061686860")</f>
        <v>6</v>
      </c>
      <c r="C5" s="13" t="s"/>
      <c r="D5" s="10" t="s"/>
    </row>
    <row r="6" spans="1:4" ht="38.25" customHeight="1">
      <c r="A6" s="15" t="s">
        <v>7</v>
      </c>
      <c r="B6" s="15" t="s">
        <v>8</v>
      </c>
      <c r="C6" s="13" t="s"/>
      <c r="D6" s="10" t="s"/>
    </row>
    <row r="7" spans="2:3" ht="38.25" customHeight="1">
      <c r="B7" s="17" t="s"/>
      <c r="C7" s="18" t="s"/>
    </row>
    <row r="8" spans="1:3" ht="38.25" customHeight="1">
      <c r="A8" s="19" t="s">
        <v>143</v>
      </c>
      <c r="B8" s="20" t="s"/>
      <c r="C8" s="18" t="s"/>
    </row>
    <row r="9" spans="1:3" ht="38.25" customHeight="1">
      <c r="A9" s="38" t="s">
        <v>263</v>
      </c>
      <c r="B9" s="23" t="s">
        <v>264</v>
      </c>
      <c r="C9" s="18" t="s"/>
    </row>
    <row r="10" spans="1:3" ht="38.25" customHeight="1">
      <c r="A10" s="21" t="s">
        <v>144</v>
      </c>
      <c r="B10" s="20" t="s">
        <f>=HYPERLINK("https://pan.quark.cn/s/08f1942d9a44","https://pan.quark.cn/s/08f1942d9a44")</f>
        <v>9</v>
      </c>
      <c r="C10" s="18" t="s"/>
    </row>
    <row r="11" spans="1:3" ht="38.25" customHeight="1">
      <c r="A11" s="21" t="s">
        <v>145</v>
      </c>
      <c r="B11" s="20" t="s">
        <f>=HYPERLINK("https://pan.quark.cn/s/56273ad26d93","https://pan.quark.cn/s/56273ad26d93")</f>
        <v>10</v>
      </c>
      <c r="C11" s="18" t="s"/>
    </row>
    <row r="12" spans="1:3" ht="38.25" customHeight="1">
      <c r="A12" s="21" t="s">
        <v>146</v>
      </c>
      <c r="B12" s="20" t="s">
        <f>=HYPERLINK("https://pan.quark.cn/s/a5e64a851504","https://pan.quark.cn/s/a5e64a851504")</f>
        <v>11</v>
      </c>
      <c r="C12" s="18" t="s"/>
    </row>
    <row r="13" spans="1:3" ht="38.25" customHeight="1">
      <c r="A13" s="22" t="s">
        <v>12</v>
      </c>
      <c r="B13" s="23" t="s">
        <v>147</v>
      </c>
      <c r="C13" s="18" t="s"/>
    </row>
    <row r="14" spans="1:3" ht="38.25" customHeight="1">
      <c r="A14" s="22" t="s">
        <v>13</v>
      </c>
      <c r="B14" s="23" t="s">
        <v>148</v>
      </c>
      <c r="C14" s="24" t="s">
        <v>149</v>
      </c>
    </row>
    <row r="15" spans="2:3" ht="38.25" customHeight="1">
      <c r="B15" s="25" t="s"/>
      <c r="C15" s="26" t="s"/>
    </row>
    <row r="16" spans="1:3" ht="38.25" customHeight="1">
      <c r="A16" s="27" t="s">
        <v>14</v>
      </c>
      <c r="B16" s="25" t="s"/>
      <c r="C16" s="18" t="s"/>
    </row>
    <row r="17" spans="1:3" ht="38.25" customHeight="1">
      <c r="A17" s="28" t="s">
        <v>135</v>
      </c>
      <c r="B17" s="23" t="s">
        <v>134</v>
      </c>
      <c r="C17" s="18" t="s"/>
    </row>
    <row r="18" spans="1:3" ht="38.25" customHeight="1">
      <c r="A18" s="28" t="s">
        <v>133</v>
      </c>
      <c r="B18" s="23" t="s">
        <v>132</v>
      </c>
      <c r="C18" s="18" t="s"/>
    </row>
    <row r="19" spans="1:3" ht="38.25" customHeight="1">
      <c r="A19" s="28" t="s">
        <v>131</v>
      </c>
      <c r="B19" s="23" t="s">
        <v>130</v>
      </c>
      <c r="C19" s="18" t="s"/>
    </row>
    <row r="20" spans="1:3" ht="38.25" customHeight="1">
      <c r="A20" s="28" t="s">
        <v>129</v>
      </c>
      <c r="B20" s="36" t="s">
        <v>128</v>
      </c>
      <c r="C20" s="18" t="s"/>
    </row>
    <row r="21" spans="1:3" ht="38.25" customHeight="1">
      <c r="A21" s="28" t="s">
        <v>150</v>
      </c>
      <c r="B21" s="36" t="s">
        <v>262</v>
      </c>
      <c r="C21" s="18" t="s"/>
    </row>
    <row r="22" spans="1:3" ht="38.25" customHeight="1">
      <c r="A22" s="30" t="s">
        <v>16</v>
      </c>
      <c r="B22" s="23" t="s">
        <v>151</v>
      </c>
      <c r="C22" s="18" t="s"/>
    </row>
    <row r="23" spans="1:3" ht="38.25" customHeight="1">
      <c r="A23" s="28" t="s">
        <v>13</v>
      </c>
      <c r="B23" s="23" t="s">
        <v>152</v>
      </c>
      <c r="C23" s="18" t="s"/>
    </row>
    <row r="24" spans="1:3" ht="38.25" customHeight="1">
      <c r="A24" s="28" t="s">
        <v>17</v>
      </c>
      <c r="B24" s="23" t="s">
        <v>153</v>
      </c>
      <c r="C24" s="18" t="s"/>
    </row>
    <row r="25" spans="1:3" ht="38.25" customHeight="1">
      <c r="A25" s="28" t="s">
        <v>18</v>
      </c>
      <c r="B25" s="23" t="s">
        <v>154</v>
      </c>
      <c r="C25" s="18" t="s"/>
    </row>
    <row r="26" spans="1:3" ht="38.25" customHeight="1">
      <c r="A26" s="31" t="s"/>
      <c r="B26" s="23" t="s"/>
      <c r="C26" s="18" t="s"/>
    </row>
    <row r="27" spans="1:3" ht="38.25" customHeight="1">
      <c r="A27" s="27" t="s">
        <v>19</v>
      </c>
      <c r="B27" s="32" t="s">
        <v>20</v>
      </c>
      <c r="C27" s="18" t="s"/>
    </row>
    <row r="28" spans="1:3" ht="38.25" customHeight="1">
      <c r="A28" s="33" t="s">
        <v>21</v>
      </c>
      <c r="B28" s="23" t="s">
        <v>155</v>
      </c>
      <c r="C28" s="18" t="s"/>
    </row>
    <row r="29" spans="1:3" ht="38.25" customHeight="1">
      <c r="A29" s="34" t="s">
        <v>22</v>
      </c>
      <c r="B29" s="23" t="s">
        <v>156</v>
      </c>
      <c r="C29" s="18" t="s"/>
    </row>
    <row r="30" spans="1:3" ht="38.25" customHeight="1">
      <c r="A30" s="33" t="s">
        <v>23</v>
      </c>
      <c r="B30" s="23" t="s">
        <v>157</v>
      </c>
      <c r="C30" s="18" t="s"/>
    </row>
    <row r="31" spans="1:3" ht="38.25" customHeight="1">
      <c r="A31" s="33" t="s">
        <v>24</v>
      </c>
      <c r="B31" s="23" t="s">
        <v>158</v>
      </c>
      <c r="C31" s="18" t="s"/>
    </row>
    <row r="32" spans="1:3" ht="38.25" customHeight="1">
      <c r="A32" s="33" t="s">
        <v>27</v>
      </c>
      <c r="B32" s="23" t="s">
        <v>161</v>
      </c>
      <c r="C32" s="18" t="s"/>
    </row>
    <row r="33" spans="1:3" ht="38.25" customHeight="1">
      <c r="A33" s="33" t="s">
        <v>28</v>
      </c>
      <c r="B33" s="23" t="s">
        <v>162</v>
      </c>
      <c r="C33" s="18" t="s"/>
    </row>
    <row r="34" spans="1:3" ht="38.25" customHeight="1">
      <c r="A34" s="33" t="s">
        <v>29</v>
      </c>
      <c r="B34" s="23" t="s">
        <v>163</v>
      </c>
      <c r="C34" s="18" t="s"/>
    </row>
    <row r="35" spans="1:3" ht="38.25" customHeight="1">
      <c r="A35" s="33" t="s">
        <v>30</v>
      </c>
      <c r="B35" s="23" t="s">
        <v>164</v>
      </c>
      <c r="C35" s="18" t="s"/>
    </row>
    <row r="36" spans="1:3" ht="38.25" customHeight="1">
      <c r="A36" s="19" t="s"/>
      <c r="B36" s="25" t="s"/>
      <c r="C36" s="18" t="s"/>
    </row>
    <row r="37" spans="1:3" ht="38.25" customHeight="1">
      <c r="A37" s="27" t="s">
        <v>165</v>
      </c>
      <c r="B37" s="20" t="s"/>
      <c r="C37" s="35" t="s"/>
    </row>
    <row r="38" spans="1:3" ht="38.25" customHeight="1">
      <c r="A38" s="31" t="s">
        <v>17</v>
      </c>
      <c r="B38" s="23" t="s">
        <v>153</v>
      </c>
      <c r="C38" s="35" t="s"/>
    </row>
    <row r="39" spans="1:3" ht="38.25" customHeight="1">
      <c r="A39" s="31" t="s">
        <v>13</v>
      </c>
      <c r="B39" s="23" t="s">
        <v>152</v>
      </c>
      <c r="C39" s="13" t="s"/>
    </row>
    <row r="40" spans="1:3" ht="38.25" customHeight="1">
      <c r="A40" s="21" t="s">
        <v>166</v>
      </c>
      <c r="B40" s="20" t="s">
        <f>=HYPERLINK("https://pan.quark.cn/s/28981b5f815c","https://pan.quark.cn/s/28981b5f815c")</f>
        <v>31</v>
      </c>
      <c r="C40" s="13" t="s"/>
    </row>
    <row r="41" spans="1:3" ht="38.25" customHeight="1">
      <c r="A41" s="21" t="s">
        <v>167</v>
      </c>
      <c r="B41" s="20" t="s">
        <f>=HYPERLINK("https://pan.quark.cn/s/8ffa9d0d3b0c","https://pan.quark.cn/s/8ffa9d0d3b0c")</f>
        <v>32</v>
      </c>
      <c r="C41" s="35" t="s"/>
    </row>
    <row r="42" spans="1:3" ht="38.25" customHeight="1">
      <c r="A42" s="21" t="s">
        <v>168</v>
      </c>
      <c r="B42" s="20" t="s">
        <f>=HYPERLINK("https://pan.quark.cn/s/ee1b4e91016e","https://pan.quark.cn/s/ee1b4e91016e")</f>
        <v>33</v>
      </c>
      <c r="C42" s="35" t="s"/>
    </row>
    <row r="43" spans="1:3" ht="38.25" customHeight="1">
      <c r="A43" s="21" t="s">
        <v>169</v>
      </c>
      <c r="B43" s="20" t="s">
        <f>=HYPERLINK("https://pan.quark.cn/s/76f5ac553667","https://pan.quark.cn/s/76f5ac553667")</f>
        <v>34</v>
      </c>
      <c r="C43" s="35" t="s"/>
    </row>
    <row r="44" spans="1:3" ht="38.25" customHeight="1">
      <c r="A44" s="5" t="s">
        <v>170</v>
      </c>
      <c r="B44" s="20" t="s">
        <f>=HYPERLINK("https://pan.quark.cn/s/42dfe03fb8fa","https://pan.quark.cn/s/42dfe03fb8fa")</f>
        <v>35</v>
      </c>
      <c r="C44" s="35" t="s"/>
    </row>
    <row r="45" spans="1:3" ht="38.25" customHeight="1">
      <c r="A45" s="5" t="s">
        <v>171</v>
      </c>
      <c r="B45" s="20" t="s">
        <f>=HYPERLINK("https://pan.quark.cn/s/fc02d61ce1b2","https://pan.quark.cn/s/fc02d61ce1b2")</f>
        <v>36</v>
      </c>
      <c r="C45" s="35" t="s"/>
    </row>
    <row r="46" spans="1:3" ht="38.25" customHeight="1">
      <c r="A46" s="5" t="s">
        <v>172</v>
      </c>
      <c r="B46" s="20" t="s">
        <f>=HYPERLINK("https://pan.quark.cn/s/bc30020884d8","https://pan.quark.cn/s/bc30020884d8")</f>
        <v>37</v>
      </c>
      <c r="C46" s="35" t="s"/>
    </row>
    <row r="47" spans="1:3" ht="38.25" customHeight="1">
      <c r="A47" s="5" t="s">
        <v>173</v>
      </c>
      <c r="B47" s="20" t="s">
        <f>=HYPERLINK("https://pan.quark.cn/s/280b277d061a","https://pan.quark.cn/s/280b277d061a")</f>
        <v>38</v>
      </c>
      <c r="C47" s="35" t="s"/>
    </row>
    <row r="48" spans="1:3" ht="38.25" customHeight="1">
      <c r="A48" s="5" t="s">
        <v>174</v>
      </c>
      <c r="B48" s="20" t="s">
        <f>=HYPERLINK("https://pan.quark.cn/s/d9cfbce5977d","https://pan.quark.cn/s/d9cfbce5977d")</f>
        <v>39</v>
      </c>
      <c r="C48" s="35" t="s"/>
    </row>
    <row r="49" spans="1:3" ht="38.25" customHeight="1">
      <c r="A49" s="5" t="s">
        <v>175</v>
      </c>
      <c r="B49" s="20" t="s">
        <f>=HYPERLINK("https://pan.quark.cn/s/7f176fd6a2a3","https://pan.quark.cn/s/7f176fd6a2a3")</f>
        <v>40</v>
      </c>
      <c r="C49" s="35" t="s"/>
    </row>
    <row r="50" spans="1:3" ht="38.25" customHeight="1">
      <c r="A50" s="5" t="s">
        <v>176</v>
      </c>
      <c r="B50" s="20" t="s">
        <f>=HYPERLINK("https://pan.quark.cn/s/0cf421b880eb","https://pan.quark.cn/s/0cf421b880eb")</f>
        <v>41</v>
      </c>
      <c r="C50" s="35" t="s"/>
    </row>
    <row r="51" spans="1:3" ht="38.25" customHeight="1">
      <c r="A51" s="5" t="s">
        <v>177</v>
      </c>
      <c r="B51" s="20" t="s">
        <f>=HYPERLINK("https://pan.quark.cn/s/b318ef201b42","https://pan.quark.cn/s/b318ef201b42")</f>
        <v>42</v>
      </c>
      <c r="C51" s="35" t="s"/>
    </row>
    <row r="52" spans="1:3" ht="38.25" customHeight="1">
      <c r="A52" s="5" t="s">
        <v>178</v>
      </c>
      <c r="B52" s="20" t="s">
        <f>=HYPERLINK("https://pan.quark.cn/s/f26d8ac58b74","https://pan.quark.cn/s/f26d8ac58b74")</f>
        <v>43</v>
      </c>
      <c r="C52" s="35" t="s"/>
    </row>
    <row r="53" spans="1:3" ht="38.25" customHeight="1">
      <c r="A53" s="5" t="s">
        <v>179</v>
      </c>
      <c r="B53" s="20" t="s">
        <f>=HYPERLINK("https://pan.quark.cn/s/d0984cc65aae","https://pan.quark.cn/s/d0984cc65aae")</f>
        <v>44</v>
      </c>
      <c r="C53" s="35" t="s"/>
    </row>
    <row r="54" spans="1:3" ht="38.25" customHeight="1">
      <c r="A54" s="5" t="s">
        <v>180</v>
      </c>
      <c r="B54" s="20" t="s">
        <f>=HYPERLINK("https://pan.quark.cn/s/d547bb95c3d3","https://pan.quark.cn/s/d547bb95c3d3")</f>
        <v>45</v>
      </c>
      <c r="C54" s="35" t="s"/>
    </row>
    <row r="55" spans="1:3" ht="38.25" customHeight="1">
      <c r="A55" s="5" t="s">
        <v>181</v>
      </c>
      <c r="B55" s="20" t="s">
        <f>=HYPERLINK("https://pan.quark.cn/s/772ccd1ecdfd","https://pan.quark.cn/s/772ccd1ecdfd")</f>
        <v>46</v>
      </c>
      <c r="C55" s="35" t="s"/>
    </row>
    <row r="56" spans="1:3" ht="38.25" customHeight="1">
      <c r="A56" s="5" t="s">
        <v>182</v>
      </c>
      <c r="B56" s="20" t="s">
        <f>=HYPERLINK("https://pan.quark.cn/s/0dad38adae11","https://pan.quark.cn/s/0dad38adae11")</f>
        <v>47</v>
      </c>
      <c r="C56" s="35" t="s"/>
    </row>
    <row r="57" spans="1:3" ht="38.25" customHeight="1">
      <c r="A57" s="5" t="s">
        <v>183</v>
      </c>
      <c r="B57" s="20" t="s">
        <f>=HYPERLINK("https://pan.quark.cn/s/63957be271c3","https://pan.quark.cn/s/63957be271c3")</f>
        <v>48</v>
      </c>
      <c r="C57" s="35" t="s"/>
    </row>
    <row r="58" spans="1:3" ht="38.25" customHeight="1">
      <c r="A58" s="5" t="s">
        <v>184</v>
      </c>
      <c r="B58" s="20" t="s">
        <f>=HYPERLINK("https://pan.quark.cn/s/acc121edc8aa","https://pan.quark.cn/s/acc121edc8aa")</f>
        <v>49</v>
      </c>
      <c r="C58" s="35" t="s"/>
    </row>
    <row r="59" spans="1:3" ht="38.25" customHeight="1">
      <c r="A59" s="5" t="s">
        <v>185</v>
      </c>
      <c r="B59" s="20" t="s">
        <f>=HYPERLINK("https://pan.quark.cn/s/7066c6d3db4d","https://pan.quark.cn/s/7066c6d3db4d")</f>
        <v>50</v>
      </c>
      <c r="C59" s="35" t="s"/>
    </row>
    <row r="60" spans="1:3" ht="38.25" customHeight="1">
      <c r="A60" s="5" t="s">
        <v>186</v>
      </c>
      <c r="B60" s="20" t="s">
        <f>=HYPERLINK("https://pan.quark.cn/s/aa939af66035","https://pan.quark.cn/s/aa939af66035")</f>
        <v>51</v>
      </c>
      <c r="C60" s="35" t="s"/>
    </row>
    <row r="61" spans="1:3" ht="38.25" customHeight="1">
      <c r="A61" s="5" t="s">
        <v>187</v>
      </c>
      <c r="B61" s="20" t="s">
        <f>=HYPERLINK("https://pan.quark.cn/s/9a41e49796a5","https://pan.quark.cn/s/9a41e49796a5")</f>
        <v>52</v>
      </c>
      <c r="C61" s="35" t="s"/>
    </row>
    <row r="62" spans="1:3" ht="38.25" customHeight="1">
      <c r="A62" s="5" t="s">
        <v>188</v>
      </c>
      <c r="B62" s="20" t="s">
        <f>=HYPERLINK("https://pan.quark.cn/s/0032dd61bd52","https://pan.quark.cn/s/0032dd61bd52")</f>
        <v>53</v>
      </c>
      <c r="C62" s="35" t="s"/>
    </row>
    <row r="63" spans="1:3" ht="38.25" customHeight="1">
      <c r="A63" s="5" t="s">
        <v>189</v>
      </c>
      <c r="B63" s="20" t="s">
        <f>=HYPERLINK("https://pan.quark.cn/s/d8eab22ce336","https://pan.quark.cn/s/d8eab22ce336")</f>
        <v>54</v>
      </c>
      <c r="C63" s="35" t="s"/>
    </row>
    <row r="64" spans="1:3" ht="38.25" customHeight="1">
      <c r="A64" s="5" t="s">
        <v>190</v>
      </c>
      <c r="B64" s="20" t="s">
        <f>=HYPERLINK("https://pan.quark.cn/s/b3dbd47c1017","https://pan.quark.cn/s/b3dbd47c1017")</f>
        <v>55</v>
      </c>
      <c r="C64" s="35" t="s"/>
    </row>
    <row r="65" spans="1:3" ht="38.25" customHeight="1">
      <c r="A65" s="5" t="s">
        <v>191</v>
      </c>
      <c r="B65" s="20" t="s">
        <f>=HYPERLINK("https://pan.quark.cn/s/9b6476fb6251","https://pan.quark.cn/s/9b6476fb6251")</f>
        <v>56</v>
      </c>
      <c r="C65" s="35" t="s"/>
    </row>
    <row r="66" spans="1:3" ht="38.25" customHeight="1">
      <c r="A66" s="5" t="s">
        <v>192</v>
      </c>
      <c r="B66" s="20" t="s">
        <f>=HYPERLINK("https://pan.quark.cn/s/2f206a6419a8","https://pan.quark.cn/s/2f206a6419a8")</f>
        <v>57</v>
      </c>
      <c r="C66" s="35" t="s"/>
    </row>
    <row r="67" spans="1:3" ht="38.25" customHeight="1">
      <c r="A67" s="5" t="s">
        <v>193</v>
      </c>
      <c r="B67" s="20" t="s">
        <f>=HYPERLINK("https://pan.quark.cn/s/c94d9d3308c0","https://pan.quark.cn/s/c94d9d3308c0")</f>
        <v>58</v>
      </c>
      <c r="C67" s="35" t="s"/>
    </row>
    <row r="68" spans="1:3" ht="38.25" customHeight="1">
      <c r="A68" s="5" t="s">
        <v>194</v>
      </c>
      <c r="B68" s="20" t="s">
        <f>=HYPERLINK("https://pan.quark.cn/s/f58d0936db52","https://pan.quark.cn/s/f58d0936db52")</f>
        <v>59</v>
      </c>
      <c r="C68" s="35" t="s"/>
    </row>
    <row r="69" spans="1:3" ht="38.25" customHeight="1">
      <c r="A69" s="5" t="s">
        <v>195</v>
      </c>
      <c r="B69" s="20" t="s">
        <f>=HYPERLINK("https://pan.quark.cn/s/22503d29b94c","https://pan.quark.cn/s/22503d29b94c")</f>
        <v>60</v>
      </c>
      <c r="C69" s="35" t="s"/>
    </row>
    <row r="70" spans="1:3" ht="38.25" customHeight="1">
      <c r="A70" s="5" t="s">
        <v>196</v>
      </c>
      <c r="B70" s="20" t="s">
        <f>=HYPERLINK("https://pan.quark.cn/s/d56065244d71","https://pan.quark.cn/s/d56065244d71")</f>
        <v>61</v>
      </c>
      <c r="C70" s="35" t="s"/>
    </row>
    <row r="71" spans="1:3" ht="38.25" customHeight="1">
      <c r="A71" s="5" t="s">
        <v>197</v>
      </c>
      <c r="B71" s="20" t="s">
        <f>=HYPERLINK("https://pan.quark.cn/s/ef11c8536c7b","https://pan.quark.cn/s/ef11c8536c7b")</f>
        <v>62</v>
      </c>
      <c r="C71" s="35" t="s"/>
    </row>
    <row r="72" spans="1:3" ht="38.25" customHeight="1">
      <c r="A72" s="5" t="s">
        <v>198</v>
      </c>
      <c r="B72" s="20" t="s">
        <f>=HYPERLINK("https://pan.quark.cn/s/495888b2217c","https://pan.quark.cn/s/495888b2217c")</f>
        <v>63</v>
      </c>
      <c r="C72" s="35" t="s"/>
    </row>
    <row r="73" spans="1:3" ht="38.25" customHeight="1">
      <c r="A73" s="5" t="s">
        <v>199</v>
      </c>
      <c r="B73" s="20" t="s">
        <f>=HYPERLINK("https://pan.quark.cn/s/9507c0b89238","https://pan.quark.cn/s/9507c0b89238")</f>
        <v>64</v>
      </c>
      <c r="C73" s="35" t="s"/>
    </row>
    <row r="74" spans="1:3" ht="38.25" customHeight="1">
      <c r="A74" s="5" t="s">
        <v>200</v>
      </c>
      <c r="B74" s="20" t="s">
        <f>=HYPERLINK("https://pan.quark.cn/s/05ceb692573b","https://pan.quark.cn/s/05ceb692573b")</f>
        <v>65</v>
      </c>
      <c r="C74" s="35" t="s"/>
    </row>
    <row r="75" spans="1:3" ht="38.25" customHeight="1">
      <c r="A75" s="5" t="s">
        <v>201</v>
      </c>
      <c r="B75" s="20" t="s">
        <f>=HYPERLINK("https://pan.quark.cn/s/8c706242a9aa","https://pan.quark.cn/s/8c706242a9aa")</f>
        <v>66</v>
      </c>
      <c r="C75" s="35" t="s"/>
    </row>
    <row r="76" spans="1:3" ht="38.25" customHeight="1">
      <c r="A76" s="5" t="s">
        <v>202</v>
      </c>
      <c r="B76" s="20" t="s">
        <f>=HYPERLINK("https://pan.quark.cn/s/b209f57711a7","https://pan.quark.cn/s/b209f57711a7")</f>
        <v>67</v>
      </c>
      <c r="C76" s="35" t="s"/>
    </row>
    <row r="77" spans="1:3" ht="38.25" customHeight="1">
      <c r="A77" s="5" t="s">
        <v>203</v>
      </c>
      <c r="B77" s="20" t="s">
        <f>=HYPERLINK("https://pan.quark.cn/s/98f80a42e572","https://pan.quark.cn/s/98f80a42e572")</f>
        <v>68</v>
      </c>
      <c r="C77" s="35" t="s"/>
    </row>
    <row r="78" spans="1:3" ht="38.25" customHeight="1">
      <c r="A78" s="5" t="s">
        <v>204</v>
      </c>
      <c r="B78" s="20" t="s">
        <f>=HYPERLINK("https://pan.quark.cn/s/c8aa9092f4e4","https://pan.quark.cn/s/c8aa9092f4e4")</f>
        <v>69</v>
      </c>
      <c r="C78" s="35" t="s"/>
    </row>
    <row r="79" spans="1:3" ht="38.25" customHeight="1">
      <c r="A79" s="5" t="s">
        <v>205</v>
      </c>
      <c r="B79" s="20" t="s">
        <f>=HYPERLINK("https://pan.quark.cn/s/b0086b60a86b","https://pan.quark.cn/s/b0086b60a86b")</f>
        <v>70</v>
      </c>
      <c r="C79" s="35" t="s"/>
    </row>
    <row r="80" spans="1:3" ht="38.25" customHeight="1">
      <c r="A80" s="5" t="s">
        <v>206</v>
      </c>
      <c r="B80" s="20" t="s">
        <f>=HYPERLINK("https://pan.quark.cn/s/928562fdd51f","https://pan.quark.cn/s/928562fdd51f")</f>
        <v>71</v>
      </c>
      <c r="C80" s="35" t="s"/>
    </row>
    <row r="81" spans="1:3" ht="38.25" customHeight="1">
      <c r="A81" s="5" t="s">
        <v>207</v>
      </c>
      <c r="B81" s="20" t="s">
        <f>=HYPERLINK("https://pan.quark.cn/s/38aa57742c0e","https://pan.quark.cn/s/38aa57742c0e")</f>
        <v>72</v>
      </c>
      <c r="C81" s="35" t="s"/>
    </row>
    <row r="82" spans="1:3" ht="38.25" customHeight="1">
      <c r="A82" s="5" t="s">
        <v>208</v>
      </c>
      <c r="B82" s="20" t="s">
        <f>=HYPERLINK("https://pan.quark.cn/s/c5c0c1413c97","https://pan.quark.cn/s/c5c0c1413c97")</f>
        <v>73</v>
      </c>
      <c r="C82" s="35" t="s"/>
    </row>
    <row r="83" spans="1:3" ht="38.25" customHeight="1">
      <c r="A83" s="5" t="s">
        <v>209</v>
      </c>
      <c r="B83" s="20" t="s">
        <f>=HYPERLINK("https://pan.quark.cn/s/1306c4342543","https://pan.quark.cn/s/1306c4342543")</f>
        <v>74</v>
      </c>
      <c r="C83" s="35" t="s"/>
    </row>
    <row r="84" spans="1:3" ht="38.25" customHeight="1">
      <c r="A84" s="5" t="s">
        <v>210</v>
      </c>
      <c r="B84" s="20" t="s">
        <f>=HYPERLINK("https://pan.quark.cn/s/ad6c696d6977","https://pan.quark.cn/s/ad6c696d6977")</f>
        <v>75</v>
      </c>
      <c r="C84" s="35" t="s"/>
    </row>
    <row r="85" spans="1:3" ht="38.25" customHeight="1">
      <c r="A85" s="5" t="s">
        <v>211</v>
      </c>
      <c r="B85" s="20" t="s">
        <f>=HYPERLINK("https://pan.quark.cn/s/9d815973a251","https://pan.quark.cn/s/9d815973a251")</f>
        <v>76</v>
      </c>
      <c r="C85" s="35" t="s"/>
    </row>
    <row r="86" spans="1:3" ht="38.25" customHeight="1">
      <c r="A86" s="5" t="s">
        <v>212</v>
      </c>
      <c r="B86" s="20" t="s">
        <f>=HYPERLINK("https://pan.quark.cn/s/5a2f67fd379b","https://pan.quark.cn/s/5a2f67fd379b")</f>
        <v>77</v>
      </c>
      <c r="C86" s="35" t="s"/>
    </row>
    <row r="87" spans="1:3" ht="38.25" customHeight="1">
      <c r="A87" s="5" t="s">
        <v>213</v>
      </c>
      <c r="B87" s="20" t="s">
        <f>=HYPERLINK("https://pan.quark.cn/s/7400f3f6b3d0","https://pan.quark.cn/s/7400f3f6b3d0")</f>
        <v>78</v>
      </c>
      <c r="C87" s="35" t="s"/>
    </row>
    <row r="88" spans="1:3" ht="38.25" customHeight="1">
      <c r="A88" s="5" t="s">
        <v>214</v>
      </c>
      <c r="B88" s="20" t="s">
        <f>=HYPERLINK("https://pan.quark.cn/s/0dd4dd09c2af","https://pan.quark.cn/s/0dd4dd09c2af")</f>
        <v>79</v>
      </c>
      <c r="C88" s="35" t="s"/>
    </row>
    <row r="89" spans="1:3" ht="38.25" customHeight="1">
      <c r="A89" s="5" t="s">
        <v>215</v>
      </c>
      <c r="B89" s="20" t="s">
        <f>=HYPERLINK("https://pan.quark.cn/s/9ac226c72645","https://pan.quark.cn/s/9ac226c72645")</f>
        <v>80</v>
      </c>
      <c r="C89" s="35" t="s"/>
    </row>
    <row r="90" spans="1:3" ht="38.25" customHeight="1">
      <c r="A90" s="5" t="s">
        <v>216</v>
      </c>
      <c r="B90" s="20" t="s">
        <f>=HYPERLINK("https://pan.quark.cn/s/90d7d01fe250","https://pan.quark.cn/s/90d7d01fe250")</f>
        <v>81</v>
      </c>
      <c r="C90" s="35" t="s"/>
    </row>
    <row r="91" spans="1:3" ht="38.25" customHeight="1">
      <c r="A91" s="5" t="s">
        <v>217</v>
      </c>
      <c r="B91" s="20" t="s">
        <f>=HYPERLINK("https://pan.quark.cn/s/f962ddbf3652","https://pan.quark.cn/s/f962ddbf3652")</f>
        <v>82</v>
      </c>
      <c r="C91" s="35" t="s"/>
    </row>
    <row r="92" spans="1:3" ht="38.25" customHeight="1">
      <c r="A92" s="5" t="s">
        <v>218</v>
      </c>
      <c r="B92" s="20" t="s">
        <f>=HYPERLINK("https://pan.quark.cn/s/61ee422311b5","https://pan.quark.cn/s/61ee422311b5")</f>
        <v>83</v>
      </c>
      <c r="C92" s="35" t="s"/>
    </row>
    <row r="93" spans="1:3" ht="38.25" customHeight="1">
      <c r="A93" s="5" t="s">
        <v>219</v>
      </c>
      <c r="B93" s="20" t="s">
        <f>=HYPERLINK("https://pan.quark.cn/s/c714c465abac","https://pan.quark.cn/s/c714c465abac")</f>
        <v>84</v>
      </c>
      <c r="C93" s="35" t="s"/>
    </row>
    <row r="94" spans="1:3" ht="38.25" customHeight="1">
      <c r="A94" s="5" t="s">
        <v>220</v>
      </c>
      <c r="B94" s="20" t="s">
        <f>=HYPERLINK("https://pan.quark.cn/s/672e46902488","https://pan.quark.cn/s/672e46902488")</f>
        <v>85</v>
      </c>
      <c r="C94" s="35" t="s"/>
    </row>
    <row r="95" spans="1:3" ht="38.25" customHeight="1">
      <c r="A95" s="5" t="s">
        <v>221</v>
      </c>
      <c r="B95" s="20" t="s">
        <f>=HYPERLINK("https://pan.quark.cn/s/a2d1d3528bde","https://pan.quark.cn/s/a2d1d3528bde")</f>
        <v>86</v>
      </c>
      <c r="C95" s="35" t="s"/>
    </row>
    <row r="96" spans="1:3" ht="38.25" customHeight="1">
      <c r="A96" s="5" t="s">
        <v>222</v>
      </c>
      <c r="B96" s="20" t="s">
        <f>=HYPERLINK("https://pan.quark.cn/s/7cc9ffe860a1","https://pan.quark.cn/s/7cc9ffe860a1")</f>
        <v>87</v>
      </c>
      <c r="C96" s="35" t="s"/>
    </row>
    <row r="97" spans="1:3" ht="38.25" customHeight="1">
      <c r="A97" s="5" t="s">
        <v>223</v>
      </c>
      <c r="B97" s="20" t="s">
        <f>=HYPERLINK("https://pan.quark.cn/s/8feb7b06a17f","https://pan.quark.cn/s/8feb7b06a17f")</f>
        <v>88</v>
      </c>
      <c r="C97" s="35" t="s"/>
    </row>
    <row r="98" spans="1:3" ht="38.25" customHeight="1">
      <c r="A98" s="5" t="s">
        <v>224</v>
      </c>
      <c r="B98" s="20" t="s">
        <f>=HYPERLINK("https://pan.quark.cn/s/ab0c4ddee87e","https://pan.quark.cn/s/ab0c4ddee87e")</f>
        <v>89</v>
      </c>
      <c r="C98" s="35" t="s"/>
    </row>
    <row r="99" spans="1:3" ht="38.25" customHeight="1">
      <c r="A99" s="5" t="s">
        <v>225</v>
      </c>
      <c r="B99" s="20" t="s">
        <f>=HYPERLINK("https://pan.quark.cn/s/37606f52ecd7","https://pan.quark.cn/s/37606f52ecd7")</f>
        <v>90</v>
      </c>
      <c r="C99" s="35" t="s"/>
    </row>
    <row r="100" spans="1:3" ht="38.25" customHeight="1">
      <c r="A100" s="5" t="s">
        <v>226</v>
      </c>
      <c r="B100" s="20" t="s">
        <f>=HYPERLINK("https://pan.quark.cn/s/caea4d2d2fc6","https://pan.quark.cn/s/caea4d2d2fc6")</f>
        <v>91</v>
      </c>
      <c r="C100" s="35" t="s"/>
    </row>
    <row r="101" spans="1:3" ht="38.25" customHeight="1">
      <c r="A101" s="5" t="s">
        <v>227</v>
      </c>
      <c r="B101" s="20" t="s">
        <f>=HYPERLINK("https://pan.quark.cn/s/4805a626f25d","https://pan.quark.cn/s/4805a626f25d")</f>
        <v>92</v>
      </c>
      <c r="C101" s="35" t="s"/>
    </row>
    <row r="102" spans="1:3" ht="38.25" customHeight="1">
      <c r="A102" s="5" t="s">
        <v>228</v>
      </c>
      <c r="B102" s="20" t="s">
        <f>=HYPERLINK("https://pan.quark.cn/s/cf4a556fb535","https://pan.quark.cn/s/cf4a556fb535")</f>
        <v>93</v>
      </c>
      <c r="C102" s="35" t="s"/>
    </row>
    <row r="103" spans="1:3" ht="38.25" customHeight="1">
      <c r="A103" s="5" t="s">
        <v>229</v>
      </c>
      <c r="B103" s="20" t="s">
        <f>=HYPERLINK("https://pan.quark.cn/s/fdf0cd5cd039","https://pan.quark.cn/s/fdf0cd5cd039")</f>
        <v>94</v>
      </c>
      <c r="C103" s="35" t="s"/>
    </row>
    <row r="104" spans="1:3" ht="38.25" customHeight="1">
      <c r="A104" s="5" t="s">
        <v>230</v>
      </c>
      <c r="B104" s="20" t="s">
        <f>=HYPERLINK("https://pan.quark.cn/s/546f1050cb00","https://pan.quark.cn/s/546f1050cb00")</f>
        <v>95</v>
      </c>
      <c r="C104" s="35" t="s"/>
    </row>
    <row r="105" spans="1:3" ht="38.25" customHeight="1">
      <c r="A105" s="5" t="s">
        <v>231</v>
      </c>
      <c r="B105" s="20" t="s">
        <f>=HYPERLINK("https://pan.quark.cn/s/d46def764118","https://pan.quark.cn/s/d46def764118")</f>
        <v>96</v>
      </c>
      <c r="C105" s="35" t="s"/>
    </row>
    <row r="106" spans="1:3" ht="38.25" customHeight="1">
      <c r="A106" s="5" t="s">
        <v>232</v>
      </c>
      <c r="B106" s="20" t="s">
        <f>=HYPERLINK("https://pan.quark.cn/s/c81fd66a8b9a","https://pan.quark.cn/s/c81fd66a8b9a")</f>
        <v>97</v>
      </c>
      <c r="C106" s="35" t="s"/>
    </row>
    <row r="107" spans="1:3" ht="38.25" customHeight="1">
      <c r="A107" s="5" t="s">
        <v>233</v>
      </c>
      <c r="B107" s="20" t="s">
        <f>=HYPERLINK("https://pan.quark.cn/s/8f80857ef18f","https://pan.quark.cn/s/8f80857ef18f")</f>
        <v>98</v>
      </c>
      <c r="C107" s="35" t="s"/>
    </row>
    <row r="108" spans="1:3" ht="38.25" customHeight="1">
      <c r="A108" s="5" t="s">
        <v>234</v>
      </c>
      <c r="B108" s="20" t="s">
        <f>=HYPERLINK("https://pan.quark.cn/s/ecdb61761f45","https://pan.quark.cn/s/ecdb61761f45")</f>
        <v>99</v>
      </c>
      <c r="C108" s="35" t="s"/>
    </row>
    <row r="109" spans="1:3" ht="38.25" customHeight="1">
      <c r="A109" s="5" t="s">
        <v>235</v>
      </c>
      <c r="B109" s="20" t="s">
        <f>=HYPERLINK("https://pan.quark.cn/s/8a55ed712214","https://pan.quark.cn/s/8a55ed712214")</f>
        <v>100</v>
      </c>
      <c r="C109" s="35" t="s"/>
    </row>
    <row r="110" spans="1:3" ht="38.25" customHeight="1">
      <c r="A110" s="5" t="s">
        <v>236</v>
      </c>
      <c r="B110" s="20" t="s">
        <f>=HYPERLINK("https://pan.quark.cn/s/cda23783c350","https://pan.quark.cn/s/cda23783c350")</f>
        <v>101</v>
      </c>
      <c r="C110" s="35" t="s"/>
    </row>
    <row r="111" spans="1:3" ht="38.25" customHeight="1">
      <c r="A111" s="5" t="s">
        <v>237</v>
      </c>
      <c r="B111" s="20" t="s">
        <f>=HYPERLINK("https://pan.quark.cn/s/e00f05a2eadd","https://pan.quark.cn/s/e00f05a2eadd")</f>
        <v>102</v>
      </c>
      <c r="C111" s="35" t="s"/>
    </row>
    <row r="112" spans="1:3" ht="38.25" customHeight="1">
      <c r="A112" s="5" t="s">
        <v>238</v>
      </c>
      <c r="B112" s="20" t="s">
        <f>=HYPERLINK("https://pan.quark.cn/s/6bbb6af68894","https://pan.quark.cn/s/6bbb6af68894")</f>
        <v>103</v>
      </c>
      <c r="C112" s="35" t="s"/>
    </row>
    <row r="113" spans="1:3" ht="38.25" customHeight="1">
      <c r="A113" s="5" t="s">
        <v>239</v>
      </c>
      <c r="B113" s="20" t="s">
        <f>=HYPERLINK("https://pan.quark.cn/s/015594e6b613","https://pan.quark.cn/s/015594e6b613")</f>
        <v>104</v>
      </c>
      <c r="C113" s="35" t="s"/>
    </row>
    <row r="114" spans="1:3" ht="38.25" customHeight="1">
      <c r="A114" s="5" t="s">
        <v>240</v>
      </c>
      <c r="B114" s="20" t="s">
        <f>=HYPERLINK("https://pan.quark.cn/s/4e9b3b260a3d","https://pan.quark.cn/s/4e9b3b260a3d")</f>
        <v>105</v>
      </c>
      <c r="C114" s="35" t="s"/>
    </row>
    <row r="115" spans="1:3" ht="38.25" customHeight="1">
      <c r="A115" s="5" t="s">
        <v>241</v>
      </c>
      <c r="B115" s="20" t="s">
        <f>=HYPERLINK("https://pan.quark.cn/s/c9198f24faf2","https://pan.quark.cn/s/c9198f24faf2")</f>
        <v>106</v>
      </c>
      <c r="C115" s="35" t="s"/>
    </row>
    <row r="116" spans="1:3" ht="38.25" customHeight="1">
      <c r="A116" s="5" t="s">
        <v>242</v>
      </c>
      <c r="B116" s="20" t="s">
        <f>=HYPERLINK("https://pan.quark.cn/s/ef47bb1e2368","https://pan.quark.cn/s/ef47bb1e2368")</f>
        <v>107</v>
      </c>
      <c r="C116" s="35" t="s"/>
    </row>
    <row r="117" spans="1:3" ht="38.25" customHeight="1">
      <c r="A117" s="5" t="s">
        <v>243</v>
      </c>
      <c r="B117" s="20" t="s">
        <f>=HYPERLINK("https://pan.quark.cn/s/108a0025a5ea","https://pan.quark.cn/s/108a0025a5ea")</f>
        <v>108</v>
      </c>
      <c r="C117" s="35" t="s"/>
    </row>
    <row r="118" spans="1:3" ht="38.25" customHeight="1">
      <c r="A118" s="5" t="s">
        <v>244</v>
      </c>
      <c r="B118" s="20" t="s">
        <f>=HYPERLINK("https://pan.quark.cn/s/5544f98d2183","https://pan.quark.cn/s/5544f98d2183")</f>
        <v>109</v>
      </c>
      <c r="C118" s="35" t="s"/>
    </row>
    <row r="119" spans="1:3" ht="38.25" customHeight="1">
      <c r="A119" s="5" t="s">
        <v>245</v>
      </c>
      <c r="B119" s="20" t="s">
        <f>=HYPERLINK("https://pan.quark.cn/s/766a2b7646ef","https://pan.quark.cn/s/766a2b7646ef")</f>
        <v>110</v>
      </c>
      <c r="C119" s="35" t="s"/>
    </row>
    <row r="120" spans="1:3" ht="38.25" customHeight="1">
      <c r="A120" s="5" t="s">
        <v>246</v>
      </c>
      <c r="B120" s="20" t="s">
        <f>=HYPERLINK("https://pan.quark.cn/s/bf9548bb1b84","https://pan.quark.cn/s/bf9548bb1b84")</f>
        <v>111</v>
      </c>
      <c r="C120" s="35" t="s"/>
    </row>
    <row r="121" spans="1:3" ht="38.25" customHeight="1">
      <c r="A121" s="5" t="s">
        <v>247</v>
      </c>
      <c r="B121" s="20" t="s">
        <f>=HYPERLINK("https://pan.quark.cn/s/4d0d6336646b","https://pan.quark.cn/s/4d0d6336646b")</f>
        <v>112</v>
      </c>
      <c r="C121" s="35" t="s"/>
    </row>
    <row r="122" spans="1:3" ht="38.25" customHeight="1">
      <c r="A122" s="5" t="s">
        <v>248</v>
      </c>
      <c r="B122" s="20" t="s">
        <f>=HYPERLINK("https://pan.quark.cn/s/c33bd4de6100","https://pan.quark.cn/s/c33bd4de6100")</f>
        <v>113</v>
      </c>
      <c r="C122" s="35" t="s"/>
    </row>
    <row r="123" spans="1:3" ht="38.25" customHeight="1">
      <c r="A123" s="5" t="s">
        <v>249</v>
      </c>
      <c r="B123" s="20" t="s">
        <f>=HYPERLINK("https://pan.quark.cn/s/b0fc1a1a6a25","https://pan.quark.cn/s/b0fc1a1a6a25")</f>
        <v>114</v>
      </c>
      <c r="C123" s="35" t="s"/>
    </row>
    <row r="124" spans="1:3" ht="38.25" customHeight="1">
      <c r="A124" s="5" t="s">
        <v>250</v>
      </c>
      <c r="B124" s="20" t="s">
        <f>=HYPERLINK("https://pan.quark.cn/s/a2afc0e4649b","https://pan.quark.cn/s/a2afc0e4649b")</f>
        <v>115</v>
      </c>
      <c r="C124" s="35" t="s"/>
    </row>
    <row r="125" spans="1:3" ht="38.25" customHeight="1">
      <c r="A125" s="5" t="s">
        <v>251</v>
      </c>
      <c r="B125" s="20" t="s">
        <f>=HYPERLINK("https://pan.quark.cn/s/639019f02e1e","https://pan.quark.cn/s/639019f02e1e")</f>
        <v>116</v>
      </c>
      <c r="C125" s="35" t="s"/>
    </row>
    <row r="126" spans="1:3" ht="38.25" customHeight="1">
      <c r="A126" s="5" t="s">
        <v>252</v>
      </c>
      <c r="B126" s="20" t="s">
        <f>=HYPERLINK("https://pan.quark.cn/s/1b58480aa8e1","https://pan.quark.cn/s/1b58480aa8e1")</f>
        <v>117</v>
      </c>
      <c r="C126" s="35" t="s"/>
    </row>
    <row r="127" spans="1:3" ht="38.25" customHeight="1">
      <c r="A127" s="5" t="s">
        <v>253</v>
      </c>
      <c r="B127" s="20" t="s">
        <f>=HYPERLINK("https://pan.quark.cn/s/3904d4454303","https://pan.quark.cn/s/3904d4454303")</f>
        <v>118</v>
      </c>
      <c r="C127" s="35" t="s"/>
    </row>
    <row r="128" spans="1:3" ht="38.25" customHeight="1">
      <c r="A128" s="5" t="s">
        <v>254</v>
      </c>
      <c r="B128" s="20" t="s">
        <f>=HYPERLINK("https://pan.quark.cn/s/a75325f011e4","https://pan.quark.cn/s/a75325f011e4")</f>
        <v>119</v>
      </c>
      <c r="C128" s="35" t="s"/>
    </row>
    <row r="129" spans="1:3" ht="38.25" customHeight="1">
      <c r="A129" s="5" t="s">
        <v>255</v>
      </c>
      <c r="B129" s="20" t="s">
        <f>=HYPERLINK("https://pan.quark.cn/s/f7f86a9eb62a","https://pan.quark.cn/s/f7f86a9eb62a")</f>
        <v>120</v>
      </c>
      <c r="C129" s="35" t="s"/>
    </row>
    <row r="130" spans="1:3" ht="38.25" customHeight="1">
      <c r="A130" s="5" t="s">
        <v>256</v>
      </c>
      <c r="B130" s="20" t="s">
        <f>=HYPERLINK("https://pan.quark.cn/s/c957d529d6c9","https://pan.quark.cn/s/c957d529d6c9")</f>
        <v>121</v>
      </c>
      <c r="C130" s="35" t="s"/>
    </row>
    <row r="131" spans="1:3" ht="38.25" customHeight="1">
      <c r="A131" s="5" t="s">
        <v>257</v>
      </c>
      <c r="B131" s="20" t="s">
        <f>=HYPERLINK("https://pan.quark.cn/s/20d08da4cb3d","https://pan.quark.cn/s/20d08da4cb3d")</f>
        <v>122</v>
      </c>
      <c r="C131" s="35" t="s"/>
    </row>
    <row r="132" spans="1:3" ht="38.25" customHeight="1">
      <c r="A132" s="5" t="s">
        <v>258</v>
      </c>
      <c r="B132" s="20" t="s">
        <f>=HYPERLINK("https://pan.quark.cn/s/6285f1a51133","https://pan.quark.cn/s/6285f1a51133")</f>
        <v>123</v>
      </c>
      <c r="C132" s="35" t="s"/>
    </row>
    <row r="133" spans="1:3" ht="38.25" customHeight="1">
      <c r="A133" s="5" t="s">
        <v>259</v>
      </c>
      <c r="B133" s="20" t="s">
        <f>=HYPERLINK("https://pan.quark.cn/s/ee42db8fff10","https://pan.quark.cn/s/ee42db8fff10")</f>
        <v>124</v>
      </c>
      <c r="C133" s="35" t="s"/>
    </row>
    <row r="134" spans="1:3" ht="38.25" customHeight="1">
      <c r="A134" s="5" t="s">
        <v>260</v>
      </c>
      <c r="B134" s="20" t="s">
        <f>=HYPERLINK("https://pan.quark.cn/s/208dce3f79a4","https://pan.quark.cn/s/208dce3f79a4")</f>
        <v>125</v>
      </c>
      <c r="C134" s="35" t="s"/>
    </row>
    <row r="135" spans="1:3" ht="38.25" customHeight="1">
      <c r="A135" s="21" t="s">
        <v>261</v>
      </c>
      <c r="B135" s="20" t="s">
        <f>=HYPERLINK("https://pan.quark.cn/s/08ce210140af","https://pan.quark.cn/s/08ce210140af")</f>
        <v>126</v>
      </c>
      <c r="C135" s="35" t="s"/>
    </row>
  </sheetData>
  <conditionalFormatting sqref="A2:A226 B6">
    <cfRule type="containsText" dxfId="0" priority="1" operator="containsText" text="学游">
      <formula>NOT(ISERROR(SEARCH("学游",A2)))</formula>
      <formula>"学游"</formula>
    </cfRule>
  </conditionalFormatting>
  <conditionalFormatting sqref="A2:A226 B6">
    <cfRule type="containsText" dxfId="1" priority="2" operator="containsText" text="提示">
      <formula>NOT(ISERROR(SEARCH("提示",A2)))</formula>
      <formula>"提示"</formula>
    </cfRule>
  </conditionalFormatting>
  <conditionalFormatting sqref="A2:A226 B6">
    <cfRule type="containsText" dxfId="1" priority="3" operator="containsText" text="新用户">
      <formula>NOT(ISERROR(SEARCH("新用户",A2)))</formula>
      <formula>"新用户"</formula>
    </cfRule>
  </conditionalFormatting>
  <conditionalFormatting sqref="A2:A226 B6">
    <cfRule type="containsText" dxfId="2" priority="4" operator="containsText" text="手机端搜索游戏">
      <formula>NOT(ISERROR(SEARCH("手机端搜索游戏",A2)))</formula>
      <formula>"手机端搜索游戏"</formula>
    </cfRule>
  </conditionalFormatting>
  <conditionalFormatting sqref="A2:A226 B6">
    <cfRule type="cellIs" dxfId="0" priority="5" operator="equal">
      <formula>"视频分享过的游戏"</formula>
      <formula>"视频分享过的游戏"</formula>
    </cfRule>
  </conditionalFormatting>
  <hyperlinks>
    <hyperlink ref="B2" r:id="rId0"/>
    <hyperlink ref="B3" r:id="rId1"/>
    <hyperlink ref="B4" r:id="rId2"/>
    <hyperlink ref="B5" r:id="rId3"/>
    <hyperlink ref="B9" r:id="rId4"/>
    <hyperlink ref="B10" r:id="rId5"/>
    <hyperlink ref="B11" r:id="rId6"/>
    <hyperlink ref="B12" r:id="rId7"/>
    <hyperlink ref="B13" r:id="rId8"/>
    <hyperlink ref="B14" r:id="rId9"/>
    <hyperlink ref="C14" r:id="rId10"/>
    <hyperlink ref="B21" r:id="rId4"/>
    <hyperlink ref="B22" r:id="rId11"/>
    <hyperlink ref="B23" r:id="rId9"/>
    <hyperlink ref="B24" r:id="rId12"/>
    <hyperlink ref="B25" r:id="rId13"/>
    <hyperlink ref="B28" r:id="rId14"/>
    <hyperlink ref="B29" r:id="rId15"/>
    <hyperlink ref="B30" r:id="rId16"/>
    <hyperlink ref="B31" r:id="rId17"/>
    <hyperlink ref="B32" r:id="rId18"/>
    <hyperlink ref="B33" r:id="rId19"/>
    <hyperlink ref="B34" r:id="rId20"/>
    <hyperlink ref="B35" r:id="rId21"/>
    <hyperlink ref="B38" r:id="rId12"/>
    <hyperlink ref="B39" r:id="rId9"/>
    <hyperlink ref="B40" r:id="rId22"/>
    <hyperlink ref="B41" r:id="rId23"/>
    <hyperlink ref="B42" r:id="rId24"/>
    <hyperlink ref="B43" r:id="rId25"/>
    <hyperlink ref="B44" r:id="rId26"/>
    <hyperlink ref="B45" r:id="rId27"/>
    <hyperlink ref="B46" r:id="rId28"/>
    <hyperlink ref="B47" r:id="rId29"/>
    <hyperlink ref="B48" r:id="rId30"/>
    <hyperlink ref="B49" r:id="rId31"/>
    <hyperlink ref="B50" r:id="rId32"/>
    <hyperlink ref="B51" r:id="rId33"/>
    <hyperlink ref="B52" r:id="rId34"/>
    <hyperlink ref="B53" r:id="rId35"/>
    <hyperlink ref="B54" r:id="rId36"/>
    <hyperlink ref="B55" r:id="rId37"/>
    <hyperlink ref="B56" r:id="rId38"/>
    <hyperlink ref="B57" r:id="rId39"/>
    <hyperlink ref="B58" r:id="rId40"/>
    <hyperlink ref="B59" r:id="rId41"/>
    <hyperlink ref="B60" r:id="rId42"/>
    <hyperlink ref="B61" r:id="rId43"/>
    <hyperlink ref="B62" r:id="rId44"/>
    <hyperlink ref="B63" r:id="rId45"/>
    <hyperlink ref="B64" r:id="rId46"/>
    <hyperlink ref="B65" r:id="rId47"/>
    <hyperlink ref="B66" r:id="rId48"/>
    <hyperlink ref="B67" r:id="rId49"/>
    <hyperlink ref="B68" r:id="rId50"/>
    <hyperlink ref="B69" r:id="rId51"/>
    <hyperlink ref="B70" r:id="rId52"/>
    <hyperlink ref="B71" r:id="rId53"/>
    <hyperlink ref="B72" r:id="rId54"/>
    <hyperlink ref="B73" r:id="rId55"/>
    <hyperlink ref="B74" r:id="rId56"/>
    <hyperlink ref="B75" r:id="rId57"/>
    <hyperlink ref="B76" r:id="rId58"/>
    <hyperlink ref="B77" r:id="rId59"/>
    <hyperlink ref="B78" r:id="rId60"/>
    <hyperlink ref="B79" r:id="rId61"/>
    <hyperlink ref="B80" r:id="rId62"/>
    <hyperlink ref="B81" r:id="rId63"/>
    <hyperlink ref="B82" r:id="rId64"/>
    <hyperlink ref="B83" r:id="rId65"/>
    <hyperlink ref="B84" r:id="rId66"/>
    <hyperlink ref="B85" r:id="rId67"/>
    <hyperlink ref="B86" r:id="rId68"/>
    <hyperlink ref="B87" r:id="rId69"/>
    <hyperlink ref="B88" r:id="rId70"/>
    <hyperlink ref="B89" r:id="rId71"/>
    <hyperlink ref="B90" r:id="rId72"/>
    <hyperlink ref="B91" r:id="rId73"/>
    <hyperlink ref="B92" r:id="rId74"/>
    <hyperlink ref="B93" r:id="rId75"/>
    <hyperlink ref="B94" r:id="rId76"/>
    <hyperlink ref="B95" r:id="rId77"/>
    <hyperlink ref="B96" r:id="rId78"/>
    <hyperlink ref="B97" r:id="rId79"/>
    <hyperlink ref="B98" r:id="rId80"/>
    <hyperlink ref="B99" r:id="rId81"/>
    <hyperlink ref="B100" r:id="rId82"/>
    <hyperlink ref="B101" r:id="rId83"/>
    <hyperlink ref="B102" r:id="rId84"/>
    <hyperlink ref="B103" r:id="rId85"/>
    <hyperlink ref="B104" r:id="rId86"/>
    <hyperlink ref="B105" r:id="rId87"/>
    <hyperlink ref="B106" r:id="rId88"/>
    <hyperlink ref="B107" r:id="rId89"/>
    <hyperlink ref="B108" r:id="rId90"/>
    <hyperlink ref="B109" r:id="rId91"/>
    <hyperlink ref="B110" r:id="rId92"/>
    <hyperlink ref="B111" r:id="rId93"/>
    <hyperlink ref="B112" r:id="rId94"/>
    <hyperlink ref="B113" r:id="rId95"/>
    <hyperlink ref="B114" r:id="rId96"/>
    <hyperlink ref="B115" r:id="rId97"/>
    <hyperlink ref="B116" r:id="rId98"/>
    <hyperlink ref="B117" r:id="rId99"/>
    <hyperlink ref="B118" r:id="rId100"/>
    <hyperlink ref="B119" r:id="rId101"/>
    <hyperlink ref="B120" r:id="rId102"/>
    <hyperlink ref="B121" r:id="rId103"/>
    <hyperlink ref="B122" r:id="rId104"/>
    <hyperlink ref="B123" r:id="rId105"/>
    <hyperlink ref="B124" r:id="rId106"/>
    <hyperlink ref="B125" r:id="rId107"/>
    <hyperlink ref="B126" r:id="rId108"/>
    <hyperlink ref="B127" r:id="rId109"/>
    <hyperlink ref="B128" r:id="rId110"/>
    <hyperlink ref="B129" r:id="rId111"/>
    <hyperlink ref="B130" r:id="rId112"/>
    <hyperlink ref="B131" r:id="rId113"/>
    <hyperlink ref="B132" r:id="rId114"/>
    <hyperlink ref="B133" r:id="rId115"/>
    <hyperlink ref="B134" r:id="rId116"/>
    <hyperlink ref="B135" r:id="rId117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2026-05-31T16:12:29Z</dcterms:created>
  <dcterms:modified xsi:type="dcterms:W3CDTF">2026-05-31T16:12:29Z</dcterms:modified>
</cp:coreProperties>
</file>